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Валерий Андреевич\Desktop\сетки 27.09.2025\"/>
    </mc:Choice>
  </mc:AlternateContent>
  <bookViews>
    <workbookView xWindow="0" yWindow="0" windowWidth="19200" windowHeight="6300" tabRatio="821"/>
  </bookViews>
  <sheets>
    <sheet name="Регистрация" sheetId="2" r:id="rId1"/>
    <sheet name="3" sheetId="61" state="hidden" r:id="rId2"/>
    <sheet name="4" sheetId="60" state="hidden" r:id="rId3"/>
    <sheet name="5" sheetId="31" state="hidden" r:id="rId4"/>
    <sheet name="6" sheetId="32" r:id="rId5"/>
    <sheet name="7" sheetId="33" state="hidden" r:id="rId6"/>
    <sheet name="8" sheetId="34" state="hidden" r:id="rId7"/>
    <sheet name="9" sheetId="35" state="hidden" r:id="rId8"/>
    <sheet name="10" sheetId="36" state="hidden" r:id="rId9"/>
    <sheet name="11" sheetId="37" state="hidden" r:id="rId10"/>
    <sheet name="12" sheetId="38" state="hidden" r:id="rId11"/>
    <sheet name="13" sheetId="39" state="hidden" r:id="rId12"/>
    <sheet name="14" sheetId="40" state="hidden" r:id="rId13"/>
    <sheet name="15" sheetId="41" state="hidden" r:id="rId14"/>
    <sheet name="16" sheetId="42" state="hidden" r:id="rId15"/>
    <sheet name="17" sheetId="43" state="hidden" r:id="rId16"/>
    <sheet name="18" sheetId="44" state="hidden" r:id="rId17"/>
    <sheet name="19" sheetId="45" state="hidden" r:id="rId18"/>
    <sheet name="20" sheetId="46" state="hidden" r:id="rId19"/>
    <sheet name="21" sheetId="47" state="hidden" r:id="rId20"/>
    <sheet name="22" sheetId="48" state="hidden" r:id="rId21"/>
    <sheet name="23" sheetId="49" state="hidden" r:id="rId22"/>
    <sheet name="24" sheetId="50" state="hidden" r:id="rId23"/>
    <sheet name="25" sheetId="51" state="hidden" r:id="rId24"/>
    <sheet name="26" sheetId="52" state="hidden" r:id="rId25"/>
    <sheet name="27" sheetId="53" state="hidden" r:id="rId26"/>
    <sheet name="28" sheetId="54" state="hidden" r:id="rId27"/>
    <sheet name="29" sheetId="55" state="hidden" r:id="rId28"/>
    <sheet name="30" sheetId="56" state="hidden" r:id="rId29"/>
    <sheet name="31" sheetId="57" state="hidden" r:id="rId30"/>
    <sheet name="32" sheetId="15" state="hidden" r:id="rId31"/>
    <sheet name="64" sheetId="62" state="hidden" r:id="rId32"/>
    <sheet name="ОК-КАТА по баллам" sheetId="58" state="hidden" r:id="rId33"/>
    <sheet name="СЗ-КАТА по баллам" sheetId="63" state="hidden" r:id="rId34"/>
    <sheet name="ОК-ката-группа" sheetId="64" state="hidden" r:id="rId35"/>
    <sheet name="ОК-ката-бункай" sheetId="65" state="hidden" r:id="rId36"/>
    <sheet name="Командные-8" sheetId="67" state="hidden" r:id="rId37"/>
    <sheet name="Командные-16" sheetId="66" state="hidden" r:id="rId38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63" l="1"/>
  <c r="J9" i="63"/>
  <c r="J10" i="63"/>
  <c r="J11" i="63"/>
  <c r="J12" i="63"/>
  <c r="J13" i="63"/>
  <c r="J14" i="63"/>
  <c r="J15" i="63"/>
  <c r="J16" i="63"/>
  <c r="J17" i="63"/>
  <c r="J18" i="63"/>
  <c r="J19" i="63"/>
  <c r="J20" i="63"/>
  <c r="J21" i="63"/>
  <c r="J22" i="63"/>
  <c r="J23" i="63"/>
  <c r="J24" i="63"/>
  <c r="J25" i="63"/>
  <c r="J26" i="63"/>
  <c r="J27" i="63"/>
  <c r="J28" i="63"/>
  <c r="J29" i="63"/>
  <c r="J30" i="63"/>
  <c r="J31" i="63"/>
  <c r="J32" i="63"/>
  <c r="J33" i="63"/>
  <c r="J34" i="63"/>
  <c r="J35" i="63"/>
  <c r="J36" i="63"/>
  <c r="J37" i="63"/>
  <c r="J38" i="63"/>
  <c r="J39" i="63"/>
  <c r="J40" i="63"/>
  <c r="J41" i="63"/>
  <c r="J42" i="63"/>
  <c r="J43" i="63"/>
  <c r="J44" i="63"/>
  <c r="J45" i="63"/>
  <c r="J46" i="63"/>
  <c r="J47" i="63"/>
  <c r="J48" i="63"/>
  <c r="J49" i="63"/>
  <c r="J50" i="63"/>
  <c r="J51" i="63"/>
  <c r="J52" i="63"/>
  <c r="J53" i="63"/>
  <c r="J54" i="63"/>
  <c r="J55" i="63"/>
  <c r="J56" i="63"/>
  <c r="J57" i="63"/>
  <c r="J58" i="63"/>
  <c r="J59" i="63"/>
  <c r="J60" i="63"/>
  <c r="J61" i="63"/>
  <c r="J62" i="63"/>
  <c r="J63" i="63"/>
  <c r="J64" i="63"/>
  <c r="J65" i="63"/>
  <c r="J66" i="63"/>
  <c r="J67" i="63"/>
  <c r="J68" i="63"/>
  <c r="J69" i="63"/>
  <c r="J70" i="63"/>
  <c r="J7" i="63"/>
  <c r="W10" i="64"/>
  <c r="W13" i="64"/>
  <c r="W16" i="64"/>
  <c r="W19" i="64"/>
  <c r="W22" i="64"/>
  <c r="W25" i="64"/>
  <c r="W28" i="64"/>
  <c r="W31" i="64"/>
  <c r="W34" i="64"/>
  <c r="W37" i="64"/>
  <c r="W40" i="64"/>
  <c r="W43" i="64"/>
  <c r="W46" i="64"/>
  <c r="W49" i="64"/>
  <c r="W52" i="64"/>
  <c r="W55" i="64"/>
  <c r="W58" i="64"/>
  <c r="W61" i="64"/>
  <c r="W64" i="64"/>
  <c r="W67" i="64"/>
  <c r="W7" i="64"/>
  <c r="P10" i="64"/>
  <c r="P13" i="64"/>
  <c r="P16" i="64"/>
  <c r="P19" i="64"/>
  <c r="P22" i="64"/>
  <c r="P25" i="64"/>
  <c r="P28" i="64"/>
  <c r="P31" i="64"/>
  <c r="P34" i="64"/>
  <c r="P37" i="64"/>
  <c r="P40" i="64"/>
  <c r="P43" i="64"/>
  <c r="P46" i="64"/>
  <c r="P49" i="64"/>
  <c r="P52" i="64"/>
  <c r="P55" i="64"/>
  <c r="P58" i="64"/>
  <c r="P61" i="64"/>
  <c r="P64" i="64"/>
  <c r="P67" i="64"/>
  <c r="P7" i="64"/>
  <c r="I10" i="64"/>
  <c r="I13" i="64"/>
  <c r="I16" i="64"/>
  <c r="I19" i="64"/>
  <c r="I22" i="64"/>
  <c r="I25" i="64"/>
  <c r="I28" i="64"/>
  <c r="I31" i="64"/>
  <c r="I34" i="64"/>
  <c r="I37" i="64"/>
  <c r="I40" i="64"/>
  <c r="I43" i="64"/>
  <c r="I46" i="64"/>
  <c r="I49" i="64"/>
  <c r="I52" i="64"/>
  <c r="I55" i="64"/>
  <c r="I58" i="64"/>
  <c r="I61" i="64"/>
  <c r="I64" i="64"/>
  <c r="I67" i="64"/>
  <c r="I7" i="64"/>
  <c r="W12" i="58" l="1"/>
  <c r="W13" i="58"/>
  <c r="W14" i="58"/>
  <c r="W15" i="58"/>
  <c r="W16" i="58"/>
  <c r="W17" i="58"/>
  <c r="W18" i="58"/>
  <c r="W19" i="58"/>
  <c r="W20" i="58"/>
  <c r="W21" i="58"/>
  <c r="W22" i="58"/>
  <c r="W23" i="58"/>
  <c r="W24" i="58"/>
  <c r="W25" i="58"/>
  <c r="W26" i="58"/>
  <c r="W27" i="58"/>
  <c r="W28" i="58"/>
  <c r="W29" i="58"/>
  <c r="W30" i="58"/>
  <c r="W31" i="58"/>
  <c r="W32" i="58"/>
  <c r="W33" i="58"/>
  <c r="W34" i="58"/>
  <c r="W35" i="58"/>
  <c r="W36" i="58"/>
  <c r="W37" i="58"/>
  <c r="W38" i="58"/>
  <c r="W39" i="58"/>
  <c r="W40" i="58"/>
  <c r="W41" i="58"/>
  <c r="W42" i="58"/>
  <c r="W43" i="58"/>
  <c r="W44" i="58"/>
  <c r="W45" i="58"/>
  <c r="W46" i="58"/>
  <c r="W47" i="58"/>
  <c r="W48" i="58"/>
  <c r="W49" i="58"/>
  <c r="W50" i="58"/>
  <c r="W51" i="58"/>
  <c r="W52" i="58"/>
  <c r="W53" i="58"/>
  <c r="W54" i="58"/>
  <c r="W55" i="58"/>
  <c r="W56" i="58"/>
  <c r="W57" i="58"/>
  <c r="W58" i="58"/>
  <c r="W59" i="58"/>
  <c r="W60" i="58"/>
  <c r="W61" i="58"/>
  <c r="W62" i="58"/>
  <c r="W63" i="58"/>
  <c r="W64" i="58"/>
  <c r="W65" i="58"/>
  <c r="W66" i="58"/>
  <c r="W67" i="58"/>
  <c r="W68" i="58"/>
  <c r="W69" i="58"/>
  <c r="W70" i="58"/>
  <c r="P15" i="58"/>
  <c r="P16" i="58"/>
  <c r="P17" i="58"/>
  <c r="P18" i="58"/>
  <c r="P19" i="58"/>
  <c r="P20" i="58"/>
  <c r="P21" i="58"/>
  <c r="P22" i="58"/>
  <c r="P23" i="58"/>
  <c r="P24" i="58"/>
  <c r="P25" i="58"/>
  <c r="P26" i="58"/>
  <c r="P27" i="58"/>
  <c r="P28" i="58"/>
  <c r="P29" i="58"/>
  <c r="P30" i="58"/>
  <c r="P31" i="58"/>
  <c r="P32" i="58"/>
  <c r="P33" i="58"/>
  <c r="P34" i="58"/>
  <c r="P35" i="58"/>
  <c r="P36" i="58"/>
  <c r="P37" i="58"/>
  <c r="P38" i="58"/>
  <c r="P39" i="58"/>
  <c r="P40" i="58"/>
  <c r="P41" i="58"/>
  <c r="P42" i="58"/>
  <c r="P43" i="58"/>
  <c r="P44" i="58"/>
  <c r="P45" i="58"/>
  <c r="P46" i="58"/>
  <c r="P47" i="58"/>
  <c r="P48" i="58"/>
  <c r="P49" i="58"/>
  <c r="P50" i="58"/>
  <c r="P51" i="58"/>
  <c r="P52" i="58"/>
  <c r="P53" i="58"/>
  <c r="P54" i="58"/>
  <c r="P55" i="58"/>
  <c r="P56" i="58"/>
  <c r="P57" i="58"/>
  <c r="P58" i="58"/>
  <c r="P59" i="58"/>
  <c r="P60" i="58"/>
  <c r="P61" i="58"/>
  <c r="P62" i="58"/>
  <c r="P63" i="58"/>
  <c r="P64" i="58"/>
  <c r="P65" i="58"/>
  <c r="P66" i="58"/>
  <c r="P67" i="58"/>
  <c r="P68" i="58"/>
  <c r="P69" i="58"/>
  <c r="P70" i="58"/>
  <c r="P8" i="58"/>
  <c r="P9" i="58"/>
  <c r="P10" i="58"/>
  <c r="P11" i="58"/>
  <c r="P12" i="58"/>
  <c r="P13" i="58"/>
  <c r="P14" i="58"/>
  <c r="I8" i="58"/>
  <c r="I9" i="58"/>
  <c r="I10" i="58"/>
  <c r="I11" i="58"/>
  <c r="I12" i="58"/>
  <c r="I13" i="58"/>
  <c r="I14" i="58"/>
  <c r="I15" i="58"/>
  <c r="I16" i="58"/>
  <c r="I17" i="58"/>
  <c r="I18" i="58"/>
  <c r="I19" i="58"/>
  <c r="I20" i="58"/>
  <c r="I21" i="58"/>
  <c r="I22" i="58"/>
  <c r="I23" i="58"/>
  <c r="I24" i="58"/>
  <c r="I25" i="58"/>
  <c r="I26" i="58"/>
  <c r="I27" i="58"/>
  <c r="I28" i="58"/>
  <c r="I29" i="58"/>
  <c r="I30" i="58"/>
  <c r="I31" i="58"/>
  <c r="I32" i="58"/>
  <c r="I33" i="58"/>
  <c r="I34" i="58"/>
  <c r="I35" i="58"/>
  <c r="I36" i="58"/>
  <c r="I37" i="58"/>
  <c r="I38" i="58"/>
  <c r="I39" i="58"/>
  <c r="I40" i="58"/>
  <c r="I41" i="58"/>
  <c r="I42" i="58"/>
  <c r="I43" i="58"/>
  <c r="I44" i="58"/>
  <c r="I45" i="58"/>
  <c r="I46" i="58"/>
  <c r="I47" i="58"/>
  <c r="I48" i="58"/>
  <c r="I49" i="58"/>
  <c r="I50" i="58"/>
  <c r="I51" i="58"/>
  <c r="I52" i="58"/>
  <c r="I53" i="58"/>
  <c r="I54" i="58"/>
  <c r="I55" i="58"/>
  <c r="I56" i="58"/>
  <c r="I57" i="58"/>
  <c r="I58" i="58"/>
  <c r="I59" i="58"/>
  <c r="I60" i="58"/>
  <c r="I61" i="58"/>
  <c r="I62" i="58"/>
  <c r="I63" i="58"/>
  <c r="I64" i="58"/>
  <c r="I65" i="58"/>
  <c r="I66" i="58"/>
  <c r="I67" i="58"/>
  <c r="I68" i="58"/>
  <c r="I69" i="58"/>
  <c r="I70" i="58"/>
  <c r="Z8" i="63" l="1"/>
  <c r="Z9" i="63"/>
  <c r="Z10" i="63"/>
  <c r="Z11" i="63"/>
  <c r="Z12" i="63"/>
  <c r="Z13" i="63"/>
  <c r="Z14" i="63"/>
  <c r="Z15" i="63"/>
  <c r="Z16" i="63"/>
  <c r="Z17" i="63"/>
  <c r="Z18" i="63"/>
  <c r="Z19" i="63"/>
  <c r="Z20" i="63"/>
  <c r="Z21" i="63"/>
  <c r="Z22" i="63"/>
  <c r="Z23" i="63"/>
  <c r="Z24" i="63"/>
  <c r="Z25" i="63"/>
  <c r="Z26" i="63"/>
  <c r="Z27" i="63"/>
  <c r="Z28" i="63"/>
  <c r="Z29" i="63"/>
  <c r="Z30" i="63"/>
  <c r="Z31" i="63"/>
  <c r="Z32" i="63"/>
  <c r="Z33" i="63"/>
  <c r="Z34" i="63"/>
  <c r="Z35" i="63"/>
  <c r="Z36" i="63"/>
  <c r="Z37" i="63"/>
  <c r="Z38" i="63"/>
  <c r="Z39" i="63"/>
  <c r="Z40" i="63"/>
  <c r="Z41" i="63"/>
  <c r="Z42" i="63"/>
  <c r="Z43" i="63"/>
  <c r="Z44" i="63"/>
  <c r="Z45" i="63"/>
  <c r="Z46" i="63"/>
  <c r="Z47" i="63"/>
  <c r="Z48" i="63"/>
  <c r="Z49" i="63"/>
  <c r="Z50" i="63"/>
  <c r="Z51" i="63"/>
  <c r="Z52" i="63"/>
  <c r="Z53" i="63"/>
  <c r="Z54" i="63"/>
  <c r="Z55" i="63"/>
  <c r="Z56" i="63"/>
  <c r="Z57" i="63"/>
  <c r="Z58" i="63"/>
  <c r="Z59" i="63"/>
  <c r="Z60" i="63"/>
  <c r="Z61" i="63"/>
  <c r="Z62" i="63"/>
  <c r="Z63" i="63"/>
  <c r="Z64" i="63"/>
  <c r="Z65" i="63"/>
  <c r="Z66" i="63"/>
  <c r="Z67" i="63"/>
  <c r="Z68" i="63"/>
  <c r="Z69" i="63"/>
  <c r="Z70" i="63"/>
  <c r="Z7" i="63"/>
  <c r="R8" i="63"/>
  <c r="R9" i="63"/>
  <c r="R10" i="63"/>
  <c r="R11" i="63"/>
  <c r="R12" i="63"/>
  <c r="R13" i="63"/>
  <c r="R14" i="63"/>
  <c r="R15" i="63"/>
  <c r="R16" i="63"/>
  <c r="R17" i="63"/>
  <c r="R18" i="63"/>
  <c r="R19" i="63"/>
  <c r="R20" i="63"/>
  <c r="R21" i="63"/>
  <c r="R22" i="63"/>
  <c r="R23" i="63"/>
  <c r="R24" i="63"/>
  <c r="R25" i="63"/>
  <c r="R26" i="63"/>
  <c r="R27" i="63"/>
  <c r="R28" i="63"/>
  <c r="R29" i="63"/>
  <c r="R30" i="63"/>
  <c r="R31" i="63"/>
  <c r="R32" i="63"/>
  <c r="R33" i="63"/>
  <c r="R34" i="63"/>
  <c r="R35" i="63"/>
  <c r="R36" i="63"/>
  <c r="R37" i="63"/>
  <c r="R38" i="63"/>
  <c r="R39" i="63"/>
  <c r="R40" i="63"/>
  <c r="R41" i="63"/>
  <c r="R42" i="63"/>
  <c r="R43" i="63"/>
  <c r="R44" i="63"/>
  <c r="R45" i="63"/>
  <c r="R46" i="63"/>
  <c r="R47" i="63"/>
  <c r="R48" i="63"/>
  <c r="R49" i="63"/>
  <c r="R50" i="63"/>
  <c r="R51" i="63"/>
  <c r="R52" i="63"/>
  <c r="R53" i="63"/>
  <c r="R54" i="63"/>
  <c r="R55" i="63"/>
  <c r="R56" i="63"/>
  <c r="R57" i="63"/>
  <c r="R58" i="63"/>
  <c r="R59" i="63"/>
  <c r="R60" i="63"/>
  <c r="R61" i="63"/>
  <c r="R62" i="63"/>
  <c r="R63" i="63"/>
  <c r="R64" i="63"/>
  <c r="R65" i="63"/>
  <c r="R66" i="63"/>
  <c r="R67" i="63"/>
  <c r="R68" i="63"/>
  <c r="R69" i="63"/>
  <c r="R70" i="63"/>
  <c r="R7" i="63"/>
  <c r="W8" i="58" l="1"/>
  <c r="W9" i="58"/>
  <c r="W10" i="58"/>
  <c r="W11" i="58"/>
  <c r="W7" i="58"/>
  <c r="P7" i="58"/>
  <c r="I7" i="58"/>
  <c r="Q4" i="67" l="1"/>
  <c r="L4" i="67"/>
  <c r="H3" i="67"/>
  <c r="A3" i="67"/>
  <c r="L65" i="67"/>
  <c r="L63" i="67"/>
  <c r="B65" i="67"/>
  <c r="B63" i="67"/>
  <c r="B9" i="67"/>
  <c r="B8" i="67"/>
  <c r="B7" i="67"/>
  <c r="B6" i="67"/>
  <c r="A5" i="67"/>
  <c r="L60" i="67"/>
  <c r="L59" i="67"/>
  <c r="L58" i="67"/>
  <c r="Q57" i="67"/>
  <c r="L57" i="67"/>
  <c r="Q56" i="67"/>
  <c r="K56" i="67"/>
  <c r="Q55" i="67"/>
  <c r="Q54" i="67"/>
  <c r="L54" i="67"/>
  <c r="P53" i="67"/>
  <c r="L53" i="67"/>
  <c r="L52" i="67"/>
  <c r="L51" i="67"/>
  <c r="K50" i="67"/>
  <c r="Q30" i="67"/>
  <c r="Q29" i="67"/>
  <c r="Q28" i="67"/>
  <c r="Q27" i="67"/>
  <c r="P26" i="67"/>
  <c r="B51" i="67"/>
  <c r="B50" i="67"/>
  <c r="B49" i="67"/>
  <c r="G48" i="67"/>
  <c r="B48" i="67"/>
  <c r="G47" i="67"/>
  <c r="A47" i="67"/>
  <c r="G46" i="67"/>
  <c r="G45" i="67"/>
  <c r="B45" i="67"/>
  <c r="F44" i="67"/>
  <c r="B44" i="67"/>
  <c r="B43" i="67"/>
  <c r="L42" i="67"/>
  <c r="B42" i="67"/>
  <c r="L41" i="67"/>
  <c r="A41" i="67"/>
  <c r="L40" i="67"/>
  <c r="L39" i="67"/>
  <c r="B39" i="67"/>
  <c r="K38" i="67"/>
  <c r="B38" i="67"/>
  <c r="B37" i="67"/>
  <c r="G36" i="67"/>
  <c r="B36" i="67"/>
  <c r="G35" i="67"/>
  <c r="A35" i="67"/>
  <c r="G34" i="67"/>
  <c r="G33" i="67"/>
  <c r="B33" i="67"/>
  <c r="F32" i="67"/>
  <c r="B32" i="67"/>
  <c r="B31" i="67"/>
  <c r="B30" i="67"/>
  <c r="A29" i="67"/>
  <c r="B27" i="67"/>
  <c r="B26" i="67"/>
  <c r="B25" i="67"/>
  <c r="G24" i="67"/>
  <c r="B24" i="67"/>
  <c r="G23" i="67"/>
  <c r="A23" i="67"/>
  <c r="G22" i="67"/>
  <c r="G21" i="67"/>
  <c r="B21" i="67"/>
  <c r="F20" i="67"/>
  <c r="B20" i="67"/>
  <c r="B19" i="67"/>
  <c r="L18" i="67"/>
  <c r="B18" i="67"/>
  <c r="L17" i="67"/>
  <c r="A17" i="67"/>
  <c r="L16" i="67"/>
  <c r="L15" i="67"/>
  <c r="B15" i="67"/>
  <c r="K14" i="67"/>
  <c r="B14" i="67"/>
  <c r="B13" i="67"/>
  <c r="G12" i="67"/>
  <c r="B12" i="67"/>
  <c r="G11" i="67"/>
  <c r="A11" i="67"/>
  <c r="G10" i="67"/>
  <c r="G9" i="67"/>
  <c r="F8" i="67"/>
  <c r="A2" i="67"/>
  <c r="A1" i="67"/>
  <c r="A94" i="66"/>
  <c r="A88" i="66"/>
  <c r="A82" i="66"/>
  <c r="A76" i="66"/>
  <c r="A70" i="66"/>
  <c r="A64" i="66"/>
  <c r="A58" i="66"/>
  <c r="A52" i="66"/>
  <c r="A46" i="66"/>
  <c r="A40" i="66"/>
  <c r="A34" i="66"/>
  <c r="A28" i="66"/>
  <c r="A22" i="66"/>
  <c r="A16" i="66"/>
  <c r="A10" i="66"/>
  <c r="V53" i="66"/>
  <c r="V52" i="66"/>
  <c r="V51" i="66"/>
  <c r="V50" i="66"/>
  <c r="U49" i="66"/>
  <c r="V89" i="66"/>
  <c r="V88" i="66"/>
  <c r="V87" i="66"/>
  <c r="V86" i="66"/>
  <c r="U85" i="66"/>
  <c r="Q92" i="66"/>
  <c r="Q91" i="66"/>
  <c r="Q90" i="66"/>
  <c r="Q89" i="66"/>
  <c r="P88" i="66"/>
  <c r="Q86" i="66"/>
  <c r="Q85" i="66"/>
  <c r="Q84" i="66"/>
  <c r="Q83" i="66"/>
  <c r="P82" i="66"/>
  <c r="Q77" i="66"/>
  <c r="Q76" i="66"/>
  <c r="Q75" i="66"/>
  <c r="Q74" i="66"/>
  <c r="P73" i="66"/>
  <c r="Q29" i="66"/>
  <c r="Q28" i="66"/>
  <c r="Q27" i="66"/>
  <c r="Q26" i="66"/>
  <c r="P25" i="66"/>
  <c r="L17" i="66"/>
  <c r="L16" i="66"/>
  <c r="L15" i="66"/>
  <c r="L14" i="66"/>
  <c r="K13" i="66"/>
  <c r="L41" i="66"/>
  <c r="L40" i="66"/>
  <c r="L39" i="66"/>
  <c r="L38" i="66"/>
  <c r="K37" i="66"/>
  <c r="L65" i="66"/>
  <c r="L64" i="66"/>
  <c r="L63" i="66"/>
  <c r="L62" i="66"/>
  <c r="K61" i="66"/>
  <c r="L89" i="66"/>
  <c r="L88" i="66"/>
  <c r="L87" i="66"/>
  <c r="L86" i="66"/>
  <c r="K85" i="66"/>
  <c r="G95" i="66"/>
  <c r="G94" i="66"/>
  <c r="G93" i="66"/>
  <c r="G92" i="66"/>
  <c r="F91" i="66"/>
  <c r="G83" i="66"/>
  <c r="G82" i="66"/>
  <c r="G81" i="66"/>
  <c r="G80" i="66"/>
  <c r="F79" i="66"/>
  <c r="G71" i="66"/>
  <c r="G70" i="66"/>
  <c r="G69" i="66"/>
  <c r="G68" i="66"/>
  <c r="F67" i="66"/>
  <c r="G59" i="66"/>
  <c r="G58" i="66"/>
  <c r="G57" i="66"/>
  <c r="G56" i="66"/>
  <c r="F55" i="66"/>
  <c r="G47" i="66"/>
  <c r="G46" i="66"/>
  <c r="G45" i="66"/>
  <c r="G44" i="66"/>
  <c r="F43" i="66"/>
  <c r="G35" i="66"/>
  <c r="G34" i="66"/>
  <c r="G33" i="66"/>
  <c r="G32" i="66"/>
  <c r="F31" i="66"/>
  <c r="G23" i="66"/>
  <c r="G22" i="66"/>
  <c r="G21" i="66"/>
  <c r="G20" i="66"/>
  <c r="F19" i="66"/>
  <c r="G11" i="66"/>
  <c r="G10" i="66"/>
  <c r="G9" i="66"/>
  <c r="G8" i="66"/>
  <c r="F7" i="66"/>
  <c r="B98" i="66"/>
  <c r="B97" i="66"/>
  <c r="B96" i="66"/>
  <c r="B95" i="66"/>
  <c r="B92" i="66"/>
  <c r="B91" i="66"/>
  <c r="B90" i="66"/>
  <c r="B89" i="66"/>
  <c r="B86" i="66"/>
  <c r="B85" i="66"/>
  <c r="B84" i="66"/>
  <c r="B83" i="66"/>
  <c r="B80" i="66"/>
  <c r="B79" i="66"/>
  <c r="B78" i="66"/>
  <c r="B77" i="66"/>
  <c r="B74" i="66"/>
  <c r="B73" i="66"/>
  <c r="B72" i="66"/>
  <c r="B71" i="66"/>
  <c r="B68" i="66"/>
  <c r="B67" i="66"/>
  <c r="B66" i="66"/>
  <c r="B65" i="66"/>
  <c r="B62" i="66"/>
  <c r="B61" i="66"/>
  <c r="B60" i="66"/>
  <c r="B59" i="66"/>
  <c r="B56" i="66"/>
  <c r="B55" i="66"/>
  <c r="B54" i="66"/>
  <c r="B53" i="66"/>
  <c r="B50" i="66"/>
  <c r="B49" i="66"/>
  <c r="B48" i="66"/>
  <c r="B47" i="66"/>
  <c r="B44" i="66"/>
  <c r="B43" i="66"/>
  <c r="B42" i="66"/>
  <c r="B41" i="66"/>
  <c r="B38" i="66"/>
  <c r="B37" i="66"/>
  <c r="B36" i="66"/>
  <c r="B35" i="66"/>
  <c r="B32" i="66"/>
  <c r="B31" i="66"/>
  <c r="B30" i="66"/>
  <c r="B29" i="66"/>
  <c r="B26" i="66"/>
  <c r="B25" i="66"/>
  <c r="B24" i="66"/>
  <c r="B23" i="66"/>
  <c r="B20" i="66"/>
  <c r="B19" i="66"/>
  <c r="B18" i="66"/>
  <c r="B17" i="66"/>
  <c r="B14" i="66"/>
  <c r="B13" i="66"/>
  <c r="B12" i="66"/>
  <c r="B11" i="66"/>
  <c r="B8" i="66"/>
  <c r="B7" i="66"/>
  <c r="B6" i="66"/>
  <c r="B5" i="66"/>
  <c r="A4" i="66"/>
  <c r="V4" i="66"/>
  <c r="Q4" i="66"/>
  <c r="Q3" i="66"/>
  <c r="G3" i="66"/>
  <c r="A2" i="66"/>
  <c r="A1" i="66"/>
  <c r="Q100" i="66"/>
  <c r="Q97" i="66"/>
  <c r="G100" i="66"/>
  <c r="G97" i="66"/>
  <c r="S93" i="62" l="1"/>
  <c r="S90" i="62"/>
  <c r="K93" i="62"/>
  <c r="K90" i="62"/>
  <c r="O75" i="65"/>
  <c r="O73" i="65"/>
  <c r="B75" i="65"/>
  <c r="B73" i="65"/>
  <c r="B39" i="65"/>
  <c r="I39" i="65"/>
  <c r="P39" i="65"/>
  <c r="W39" i="65"/>
  <c r="B40" i="65"/>
  <c r="B41" i="65"/>
  <c r="I41" i="65"/>
  <c r="P41" i="65"/>
  <c r="W41" i="65"/>
  <c r="B42" i="65"/>
  <c r="B43" i="65"/>
  <c r="I43" i="65"/>
  <c r="P43" i="65"/>
  <c r="W43" i="65"/>
  <c r="B44" i="65"/>
  <c r="B45" i="65"/>
  <c r="I45" i="65"/>
  <c r="P45" i="65"/>
  <c r="W45" i="65"/>
  <c r="B46" i="65"/>
  <c r="B47" i="65"/>
  <c r="I47" i="65"/>
  <c r="P47" i="65"/>
  <c r="W47" i="65"/>
  <c r="B48" i="65"/>
  <c r="B49" i="65"/>
  <c r="I49" i="65"/>
  <c r="P49" i="65"/>
  <c r="W49" i="65"/>
  <c r="B50" i="65"/>
  <c r="B51" i="65"/>
  <c r="I51" i="65"/>
  <c r="P51" i="65"/>
  <c r="W51" i="65"/>
  <c r="B52" i="65"/>
  <c r="B53" i="65"/>
  <c r="I53" i="65"/>
  <c r="P53" i="65"/>
  <c r="W53" i="65"/>
  <c r="B54" i="65"/>
  <c r="B55" i="65"/>
  <c r="I55" i="65"/>
  <c r="P55" i="65"/>
  <c r="W55" i="65"/>
  <c r="B56" i="65"/>
  <c r="B57" i="65"/>
  <c r="I57" i="65"/>
  <c r="P57" i="65"/>
  <c r="W57" i="65"/>
  <c r="B58" i="65"/>
  <c r="B59" i="65"/>
  <c r="I59" i="65"/>
  <c r="P59" i="65"/>
  <c r="W59" i="65"/>
  <c r="B60" i="65"/>
  <c r="B61" i="65"/>
  <c r="I61" i="65"/>
  <c r="P61" i="65"/>
  <c r="W61" i="65"/>
  <c r="B62" i="65"/>
  <c r="B63" i="65"/>
  <c r="I63" i="65"/>
  <c r="P63" i="65"/>
  <c r="W63" i="65"/>
  <c r="B64" i="65"/>
  <c r="B65" i="65"/>
  <c r="I65" i="65"/>
  <c r="P65" i="65"/>
  <c r="W65" i="65"/>
  <c r="B66" i="65"/>
  <c r="B67" i="65"/>
  <c r="I67" i="65"/>
  <c r="P67" i="65"/>
  <c r="W67" i="65"/>
  <c r="B68" i="65"/>
  <c r="B69" i="65"/>
  <c r="I69" i="65"/>
  <c r="P69" i="65"/>
  <c r="W69" i="65"/>
  <c r="B70" i="65"/>
  <c r="B23" i="65"/>
  <c r="I23" i="65"/>
  <c r="P23" i="65"/>
  <c r="W23" i="65"/>
  <c r="B24" i="65"/>
  <c r="B25" i="65"/>
  <c r="I25" i="65"/>
  <c r="P25" i="65"/>
  <c r="W25" i="65"/>
  <c r="B26" i="65"/>
  <c r="B27" i="65"/>
  <c r="I27" i="65"/>
  <c r="P27" i="65"/>
  <c r="W27" i="65"/>
  <c r="B28" i="65"/>
  <c r="B29" i="65"/>
  <c r="I29" i="65"/>
  <c r="P29" i="65"/>
  <c r="W29" i="65"/>
  <c r="B30" i="65"/>
  <c r="B31" i="65"/>
  <c r="I31" i="65"/>
  <c r="P31" i="65"/>
  <c r="W31" i="65"/>
  <c r="B32" i="65"/>
  <c r="B33" i="65"/>
  <c r="I33" i="65"/>
  <c r="P33" i="65"/>
  <c r="W33" i="65"/>
  <c r="B34" i="65"/>
  <c r="B35" i="65"/>
  <c r="I35" i="65"/>
  <c r="P35" i="65"/>
  <c r="W35" i="65"/>
  <c r="B36" i="65"/>
  <c r="B37" i="65"/>
  <c r="I37" i="65"/>
  <c r="P37" i="65"/>
  <c r="W37" i="65"/>
  <c r="B38" i="65"/>
  <c r="B9" i="65"/>
  <c r="I9" i="65"/>
  <c r="P9" i="65"/>
  <c r="W9" i="65"/>
  <c r="B10" i="65"/>
  <c r="B11" i="65"/>
  <c r="I11" i="65"/>
  <c r="P11" i="65"/>
  <c r="W11" i="65"/>
  <c r="B12" i="65"/>
  <c r="B13" i="65"/>
  <c r="I13" i="65"/>
  <c r="P13" i="65"/>
  <c r="W13" i="65"/>
  <c r="B14" i="65"/>
  <c r="B15" i="65"/>
  <c r="I15" i="65"/>
  <c r="P15" i="65"/>
  <c r="W15" i="65"/>
  <c r="B16" i="65"/>
  <c r="B17" i="65"/>
  <c r="I17" i="65"/>
  <c r="P17" i="65"/>
  <c r="W17" i="65"/>
  <c r="B18" i="65"/>
  <c r="B19" i="65"/>
  <c r="I19" i="65"/>
  <c r="P19" i="65"/>
  <c r="W19" i="65"/>
  <c r="B20" i="65"/>
  <c r="B21" i="65"/>
  <c r="I21" i="65"/>
  <c r="P21" i="65"/>
  <c r="W21" i="65"/>
  <c r="B22" i="65"/>
  <c r="B8" i="65"/>
  <c r="W7" i="65"/>
  <c r="P7" i="65"/>
  <c r="I7" i="65"/>
  <c r="B7" i="65"/>
  <c r="W3" i="65"/>
  <c r="R3" i="65"/>
  <c r="E3" i="65"/>
  <c r="A3" i="65"/>
  <c r="A2" i="65"/>
  <c r="A1" i="65"/>
  <c r="B10" i="64"/>
  <c r="B11" i="64"/>
  <c r="B12" i="64"/>
  <c r="B13" i="64"/>
  <c r="B14" i="64"/>
  <c r="B15" i="64"/>
  <c r="B16" i="64"/>
  <c r="B17" i="64"/>
  <c r="B18" i="64"/>
  <c r="B19" i="64"/>
  <c r="B20" i="64"/>
  <c r="B21" i="64"/>
  <c r="B22" i="64"/>
  <c r="B23" i="64"/>
  <c r="B24" i="64"/>
  <c r="B25" i="64"/>
  <c r="B26" i="64"/>
  <c r="B27" i="64"/>
  <c r="B28" i="64"/>
  <c r="B29" i="64"/>
  <c r="B30" i="64"/>
  <c r="B31" i="64"/>
  <c r="B32" i="64"/>
  <c r="B33" i="64"/>
  <c r="B34" i="64"/>
  <c r="B35" i="64"/>
  <c r="B36" i="64"/>
  <c r="B37" i="64"/>
  <c r="B38" i="64"/>
  <c r="B39" i="64"/>
  <c r="B40" i="64"/>
  <c r="B41" i="64"/>
  <c r="B42" i="64"/>
  <c r="B43" i="64"/>
  <c r="B44" i="64"/>
  <c r="B45" i="64"/>
  <c r="B46" i="64"/>
  <c r="B47" i="64"/>
  <c r="B48" i="64"/>
  <c r="B49" i="64"/>
  <c r="B50" i="64"/>
  <c r="B51" i="64"/>
  <c r="B52" i="64"/>
  <c r="B53" i="64"/>
  <c r="B54" i="64"/>
  <c r="B55" i="64"/>
  <c r="B56" i="64"/>
  <c r="B57" i="64"/>
  <c r="B58" i="64"/>
  <c r="B59" i="64"/>
  <c r="B60" i="64"/>
  <c r="B61" i="64"/>
  <c r="B62" i="64"/>
  <c r="B63" i="64"/>
  <c r="B64" i="64"/>
  <c r="B65" i="64"/>
  <c r="B66" i="64"/>
  <c r="B67" i="64"/>
  <c r="B68" i="64"/>
  <c r="B69" i="64"/>
  <c r="B8" i="64"/>
  <c r="B9" i="64"/>
  <c r="B7" i="64"/>
  <c r="B7" i="58"/>
  <c r="N74" i="64"/>
  <c r="P70" i="64" s="1"/>
  <c r="N72" i="64"/>
  <c r="B74" i="64"/>
  <c r="B72" i="64"/>
  <c r="W3" i="64"/>
  <c r="R3" i="64"/>
  <c r="E3" i="64"/>
  <c r="A3" i="64"/>
  <c r="A2" i="64"/>
  <c r="A1" i="64"/>
  <c r="W70" i="64"/>
  <c r="I70" i="64"/>
  <c r="A90" i="62" l="1"/>
  <c r="A45" i="15"/>
  <c r="A43" i="15"/>
  <c r="H42" i="15"/>
  <c r="H40" i="15"/>
  <c r="O48" i="15"/>
  <c r="O46" i="15"/>
  <c r="A46" i="57"/>
  <c r="A44" i="57"/>
  <c r="A45" i="57"/>
  <c r="A43" i="57"/>
  <c r="H43" i="57"/>
  <c r="H41" i="57"/>
  <c r="O49" i="57"/>
  <c r="O47" i="57"/>
  <c r="A46" i="56"/>
  <c r="A44" i="56"/>
  <c r="A45" i="56"/>
  <c r="A43" i="56"/>
  <c r="H43" i="56"/>
  <c r="H41" i="56"/>
  <c r="O49" i="56"/>
  <c r="O47" i="56"/>
  <c r="A46" i="55"/>
  <c r="A44" i="55"/>
  <c r="A45" i="55"/>
  <c r="A43" i="55"/>
  <c r="H43" i="55"/>
  <c r="H41" i="55"/>
  <c r="O49" i="55"/>
  <c r="O47" i="55"/>
  <c r="A46" i="54"/>
  <c r="A44" i="54"/>
  <c r="A45" i="54"/>
  <c r="A43" i="54"/>
  <c r="H43" i="54"/>
  <c r="H41" i="54"/>
  <c r="O49" i="54"/>
  <c r="O47" i="54"/>
  <c r="A46" i="53"/>
  <c r="A44" i="53"/>
  <c r="A45" i="53"/>
  <c r="A43" i="53"/>
  <c r="H43" i="53"/>
  <c r="H41" i="53"/>
  <c r="O49" i="53"/>
  <c r="O47" i="53"/>
  <c r="A46" i="52"/>
  <c r="A44" i="52"/>
  <c r="A45" i="52"/>
  <c r="A43" i="52"/>
  <c r="H43" i="52"/>
  <c r="H41" i="52"/>
  <c r="O49" i="52"/>
  <c r="O47" i="52"/>
  <c r="A46" i="51"/>
  <c r="A44" i="51"/>
  <c r="A45" i="51"/>
  <c r="A43" i="51"/>
  <c r="H43" i="51"/>
  <c r="H41" i="51"/>
  <c r="O49" i="51"/>
  <c r="O47" i="51"/>
  <c r="A46" i="50"/>
  <c r="A44" i="50"/>
  <c r="A45" i="50"/>
  <c r="A43" i="50"/>
  <c r="H43" i="50"/>
  <c r="H41" i="50"/>
  <c r="O49" i="50"/>
  <c r="O47" i="50"/>
  <c r="A46" i="49"/>
  <c r="A44" i="49"/>
  <c r="A45" i="49"/>
  <c r="A43" i="49"/>
  <c r="H43" i="49"/>
  <c r="H41" i="49"/>
  <c r="O49" i="49"/>
  <c r="O47" i="49"/>
  <c r="O48" i="48"/>
  <c r="O46" i="48"/>
  <c r="A45" i="48"/>
  <c r="A43" i="48"/>
  <c r="A44" i="48"/>
  <c r="A42" i="48"/>
  <c r="H42" i="48"/>
  <c r="H40" i="48"/>
  <c r="O48" i="47"/>
  <c r="O46" i="47"/>
  <c r="A45" i="47"/>
  <c r="A43" i="47"/>
  <c r="A44" i="47"/>
  <c r="A42" i="47"/>
  <c r="H42" i="47"/>
  <c r="H40" i="47"/>
  <c r="A45" i="46"/>
  <c r="A43" i="46"/>
  <c r="A44" i="46"/>
  <c r="A42" i="46"/>
  <c r="H42" i="46"/>
  <c r="H40" i="46"/>
  <c r="A45" i="45"/>
  <c r="A43" i="45"/>
  <c r="A44" i="45"/>
  <c r="A42" i="45"/>
  <c r="H42" i="45"/>
  <c r="H40" i="45"/>
  <c r="A45" i="43"/>
  <c r="A43" i="43"/>
  <c r="H42" i="43"/>
  <c r="H40" i="43"/>
  <c r="A48" i="44"/>
  <c r="A46" i="44"/>
  <c r="A44" i="44"/>
  <c r="A42" i="44"/>
  <c r="A45" i="44"/>
  <c r="A43" i="44"/>
  <c r="H42" i="44"/>
  <c r="H40" i="44"/>
  <c r="A44" i="43"/>
  <c r="A42" i="43"/>
  <c r="A46" i="42"/>
  <c r="A44" i="42"/>
  <c r="H40" i="42"/>
  <c r="H38" i="42"/>
  <c r="A45" i="41"/>
  <c r="A43" i="41"/>
  <c r="H39" i="41"/>
  <c r="H37" i="41"/>
  <c r="A45" i="40"/>
  <c r="A43" i="40"/>
  <c r="H39" i="40"/>
  <c r="H37" i="40"/>
  <c r="A45" i="39"/>
  <c r="A43" i="39"/>
  <c r="H39" i="39"/>
  <c r="H37" i="39"/>
  <c r="A45" i="38"/>
  <c r="A43" i="38"/>
  <c r="H39" i="38"/>
  <c r="H37" i="38"/>
  <c r="A45" i="37"/>
  <c r="A43" i="37"/>
  <c r="H39" i="37"/>
  <c r="H37" i="37"/>
  <c r="A43" i="36"/>
  <c r="H39" i="36"/>
  <c r="H37" i="36"/>
  <c r="A45" i="36" s="1"/>
  <c r="A45" i="35"/>
  <c r="A43" i="35"/>
  <c r="H39" i="35"/>
  <c r="H37" i="35"/>
  <c r="A35" i="34"/>
  <c r="A33" i="34"/>
  <c r="F28" i="34"/>
  <c r="F26" i="34"/>
  <c r="A35" i="33"/>
  <c r="A33" i="33"/>
  <c r="A33" i="32"/>
  <c r="A35" i="31"/>
  <c r="A33" i="31"/>
  <c r="A34" i="60"/>
  <c r="A32" i="60"/>
  <c r="F25" i="60"/>
  <c r="AA9" i="63"/>
  <c r="AA13" i="63"/>
  <c r="AA17" i="63"/>
  <c r="AA21" i="63"/>
  <c r="AA25" i="63"/>
  <c r="AA29" i="63"/>
  <c r="AA33" i="63"/>
  <c r="AA37" i="63"/>
  <c r="AA41" i="63"/>
  <c r="AA45" i="63"/>
  <c r="AA49" i="63"/>
  <c r="AA53" i="63"/>
  <c r="AA57" i="63"/>
  <c r="AA61" i="63"/>
  <c r="AA65" i="63"/>
  <c r="AA69" i="63"/>
  <c r="P74" i="63"/>
  <c r="B74" i="63"/>
  <c r="P72" i="63"/>
  <c r="B72" i="63"/>
  <c r="B70" i="63"/>
  <c r="B69" i="63"/>
  <c r="B68" i="63"/>
  <c r="B67" i="63"/>
  <c r="B66" i="63"/>
  <c r="B65" i="63"/>
  <c r="B64" i="63"/>
  <c r="B63" i="63"/>
  <c r="B62" i="63"/>
  <c r="B61" i="63"/>
  <c r="B60" i="63"/>
  <c r="B59" i="63"/>
  <c r="B58" i="63"/>
  <c r="B57" i="63"/>
  <c r="B56" i="63"/>
  <c r="B55" i="63"/>
  <c r="B54" i="63"/>
  <c r="B53" i="63"/>
  <c r="B52" i="63"/>
  <c r="B51" i="63"/>
  <c r="B50" i="63"/>
  <c r="B49" i="63"/>
  <c r="B48" i="63"/>
  <c r="B47" i="63"/>
  <c r="B46" i="63"/>
  <c r="B45" i="63"/>
  <c r="B44" i="63"/>
  <c r="B43" i="63"/>
  <c r="B42" i="63"/>
  <c r="B41" i="63"/>
  <c r="B40" i="63"/>
  <c r="B39" i="63"/>
  <c r="B38" i="63"/>
  <c r="B37" i="63"/>
  <c r="B36" i="63"/>
  <c r="B35" i="63"/>
  <c r="B34" i="63"/>
  <c r="B33" i="63"/>
  <c r="B32" i="63"/>
  <c r="B31" i="63"/>
  <c r="B30" i="63"/>
  <c r="B29" i="63"/>
  <c r="B28" i="63"/>
  <c r="B27" i="63"/>
  <c r="B26" i="63"/>
  <c r="B25" i="63"/>
  <c r="B24" i="63"/>
  <c r="B23" i="63"/>
  <c r="B22" i="63"/>
  <c r="B21" i="63"/>
  <c r="B20" i="63"/>
  <c r="B19" i="63"/>
  <c r="B18" i="63"/>
  <c r="B17" i="63"/>
  <c r="B16" i="63"/>
  <c r="B15" i="63"/>
  <c r="B14" i="63"/>
  <c r="B13" i="63"/>
  <c r="B12" i="63"/>
  <c r="B11" i="63"/>
  <c r="B10" i="63"/>
  <c r="B9" i="63"/>
  <c r="B8" i="63"/>
  <c r="B7" i="63"/>
  <c r="Z3" i="63"/>
  <c r="U3" i="63"/>
  <c r="F3" i="63"/>
  <c r="A3" i="63"/>
  <c r="A2" i="63"/>
  <c r="A1" i="63"/>
  <c r="AA68" i="63" l="1"/>
  <c r="AA64" i="63"/>
  <c r="AA60" i="63"/>
  <c r="AA56" i="63"/>
  <c r="AA52" i="63"/>
  <c r="AA48" i="63"/>
  <c r="AA44" i="63"/>
  <c r="AA40" i="63"/>
  <c r="AA36" i="63"/>
  <c r="AA32" i="63"/>
  <c r="AA28" i="63"/>
  <c r="AA24" i="63"/>
  <c r="AA20" i="63"/>
  <c r="AA16" i="63"/>
  <c r="AA12" i="63"/>
  <c r="AA8" i="63"/>
  <c r="AA67" i="63"/>
  <c r="AA63" i="63"/>
  <c r="AA59" i="63"/>
  <c r="AA55" i="63"/>
  <c r="AA51" i="63"/>
  <c r="AA47" i="63"/>
  <c r="AA43" i="63"/>
  <c r="AA39" i="63"/>
  <c r="AA35" i="63"/>
  <c r="AA31" i="63"/>
  <c r="AA27" i="63"/>
  <c r="AA23" i="63"/>
  <c r="AA19" i="63"/>
  <c r="AA15" i="63"/>
  <c r="AA11" i="63"/>
  <c r="AA7" i="63"/>
  <c r="AA70" i="63"/>
  <c r="AA66" i="63"/>
  <c r="AA62" i="63"/>
  <c r="AA58" i="63"/>
  <c r="AA54" i="63"/>
  <c r="AA50" i="63"/>
  <c r="AA46" i="63"/>
  <c r="AA42" i="63"/>
  <c r="AA38" i="63"/>
  <c r="AA34" i="63"/>
  <c r="AA30" i="63"/>
  <c r="AA26" i="63"/>
  <c r="AA22" i="63"/>
  <c r="AA18" i="63"/>
  <c r="AA14" i="63"/>
  <c r="AA10" i="63"/>
  <c r="N74" i="58"/>
  <c r="N72" i="58"/>
  <c r="B74" i="58"/>
  <c r="B72" i="58"/>
  <c r="B8" i="58"/>
  <c r="B9" i="58"/>
  <c r="B10" i="58"/>
  <c r="B11" i="58"/>
  <c r="B12" i="58"/>
  <c r="B13" i="58"/>
  <c r="B14" i="58"/>
  <c r="B15" i="58"/>
  <c r="B16" i="58"/>
  <c r="B17" i="58"/>
  <c r="B18" i="58"/>
  <c r="B19" i="58"/>
  <c r="B20" i="58"/>
  <c r="B21" i="58"/>
  <c r="B22" i="58"/>
  <c r="B23" i="58"/>
  <c r="B24" i="58"/>
  <c r="B25" i="58"/>
  <c r="B26" i="58"/>
  <c r="B27" i="58"/>
  <c r="B28" i="58"/>
  <c r="B29" i="58"/>
  <c r="B30" i="58"/>
  <c r="B31" i="58"/>
  <c r="B32" i="58"/>
  <c r="B33" i="58"/>
  <c r="B34" i="58"/>
  <c r="B35" i="58"/>
  <c r="B36" i="58"/>
  <c r="B37" i="58"/>
  <c r="B38" i="58"/>
  <c r="B39" i="58"/>
  <c r="B40" i="58"/>
  <c r="B41" i="58"/>
  <c r="B42" i="58"/>
  <c r="B43" i="58"/>
  <c r="B44" i="58"/>
  <c r="B45" i="58"/>
  <c r="B46" i="58"/>
  <c r="B47" i="58"/>
  <c r="B48" i="58"/>
  <c r="B49" i="58"/>
  <c r="B50" i="58"/>
  <c r="B51" i="58"/>
  <c r="B52" i="58"/>
  <c r="B53" i="58"/>
  <c r="B54" i="58"/>
  <c r="B55" i="58"/>
  <c r="B56" i="58"/>
  <c r="B57" i="58"/>
  <c r="B58" i="58"/>
  <c r="B59" i="58"/>
  <c r="B60" i="58"/>
  <c r="B61" i="58"/>
  <c r="B62" i="58"/>
  <c r="B63" i="58"/>
  <c r="B64" i="58"/>
  <c r="B65" i="58"/>
  <c r="B66" i="58"/>
  <c r="B67" i="58"/>
  <c r="B68" i="58"/>
  <c r="B69" i="58"/>
  <c r="B70" i="58"/>
  <c r="A93" i="62"/>
  <c r="C93" i="62" s="1"/>
  <c r="A92" i="62"/>
  <c r="C92" i="62" s="1"/>
  <c r="A91" i="62"/>
  <c r="C91" i="62" s="1"/>
  <c r="C90" i="62"/>
  <c r="N81" i="62" l="1"/>
  <c r="K83" i="62"/>
  <c r="K79" i="62"/>
  <c r="K20" i="62"/>
  <c r="N26" i="62"/>
  <c r="N46" i="62"/>
  <c r="N66" i="62"/>
  <c r="P76" i="62"/>
  <c r="P56" i="62"/>
  <c r="P36" i="62"/>
  <c r="P16" i="62"/>
  <c r="R11" i="62"/>
  <c r="R21" i="62"/>
  <c r="R31" i="62"/>
  <c r="R41" i="62"/>
  <c r="R51" i="62"/>
  <c r="R61" i="62"/>
  <c r="R71" i="62"/>
  <c r="R81" i="62"/>
  <c r="I16" i="62"/>
  <c r="K66" i="62"/>
  <c r="K46" i="62"/>
  <c r="K26" i="62"/>
  <c r="I76" i="62"/>
  <c r="I56" i="62"/>
  <c r="I36" i="62"/>
  <c r="G81" i="62"/>
  <c r="G71" i="62"/>
  <c r="G61" i="62"/>
  <c r="G51" i="62"/>
  <c r="G41" i="62"/>
  <c r="G31" i="62"/>
  <c r="G21" i="62"/>
  <c r="G11" i="62"/>
  <c r="V5" i="62"/>
  <c r="T5" i="62"/>
  <c r="G5" i="62"/>
  <c r="A5" i="62"/>
  <c r="B3" i="62"/>
  <c r="B1" i="62"/>
  <c r="G25" i="60"/>
  <c r="O48" i="46"/>
  <c r="O46" i="46"/>
  <c r="O48" i="45"/>
  <c r="O46" i="45"/>
  <c r="O48" i="44"/>
  <c r="O46" i="44"/>
  <c r="O48" i="43"/>
  <c r="O46" i="43"/>
  <c r="J49" i="42"/>
  <c r="J47" i="42"/>
  <c r="J48" i="41"/>
  <c r="J46" i="41"/>
  <c r="J48" i="40"/>
  <c r="J46" i="40"/>
  <c r="J48" i="39"/>
  <c r="J46" i="39"/>
  <c r="J48" i="38"/>
  <c r="J46" i="38"/>
  <c r="J48" i="37"/>
  <c r="J46" i="37"/>
  <c r="J48" i="36"/>
  <c r="J46" i="36"/>
  <c r="J48" i="35"/>
  <c r="J46" i="35"/>
  <c r="H39" i="34"/>
  <c r="H37" i="34"/>
  <c r="H39" i="33"/>
  <c r="H37" i="33"/>
  <c r="H39" i="32"/>
  <c r="H37" i="32"/>
  <c r="H39" i="31"/>
  <c r="H37" i="31"/>
  <c r="H38" i="60"/>
  <c r="H36" i="60"/>
  <c r="H42" i="61"/>
  <c r="H40" i="61"/>
  <c r="D6" i="2"/>
  <c r="G26" i="61"/>
  <c r="C37" i="61"/>
  <c r="C36" i="61"/>
  <c r="C35" i="61"/>
  <c r="G19" i="61"/>
  <c r="G12" i="61"/>
  <c r="J5" i="61"/>
  <c r="I5" i="61"/>
  <c r="D5" i="61"/>
  <c r="A5" i="61"/>
  <c r="A3" i="61"/>
  <c r="A1" i="61"/>
  <c r="A33" i="60"/>
  <c r="C33" i="60" s="1"/>
  <c r="C32" i="60"/>
  <c r="A31" i="60"/>
  <c r="C31" i="60" s="1"/>
  <c r="F27" i="60"/>
  <c r="G27" i="60" s="1"/>
  <c r="I26" i="60"/>
  <c r="G19" i="60"/>
  <c r="I15" i="60"/>
  <c r="G12" i="60"/>
  <c r="J5" i="60"/>
  <c r="I5" i="60"/>
  <c r="D5" i="60"/>
  <c r="A5" i="60"/>
  <c r="A3" i="60"/>
  <c r="A1" i="60"/>
  <c r="C45" i="15"/>
  <c r="A42" i="15"/>
  <c r="C42" i="15" s="1"/>
  <c r="F28" i="33"/>
  <c r="C35" i="33" s="1"/>
  <c r="F26" i="33"/>
  <c r="G26" i="33" s="1"/>
  <c r="F26" i="32"/>
  <c r="F28" i="31"/>
  <c r="C35" i="31" s="1"/>
  <c r="F26" i="31"/>
  <c r="G26" i="31" s="1"/>
  <c r="A44" i="15"/>
  <c r="C44" i="15" s="1"/>
  <c r="A45" i="42"/>
  <c r="A43" i="42"/>
  <c r="C46" i="42"/>
  <c r="C45" i="35"/>
  <c r="C45" i="40"/>
  <c r="C45" i="37"/>
  <c r="A44" i="35"/>
  <c r="C44" i="35" s="1"/>
  <c r="A44" i="36"/>
  <c r="C44" i="36" s="1"/>
  <c r="A44" i="37"/>
  <c r="A44" i="38"/>
  <c r="A44" i="39"/>
  <c r="C44" i="39" s="1"/>
  <c r="A44" i="40"/>
  <c r="A44" i="41"/>
  <c r="C44" i="41" s="1"/>
  <c r="A42" i="35"/>
  <c r="A42" i="36"/>
  <c r="C42" i="36" s="1"/>
  <c r="A42" i="37"/>
  <c r="C42" i="37" s="1"/>
  <c r="A42" i="38"/>
  <c r="C42" i="38" s="1"/>
  <c r="A42" i="39"/>
  <c r="A42" i="40"/>
  <c r="C42" i="40" s="1"/>
  <c r="A42" i="41"/>
  <c r="C42" i="41" s="1"/>
  <c r="W3" i="58"/>
  <c r="R3" i="58"/>
  <c r="A2" i="58"/>
  <c r="E3" i="58"/>
  <c r="A3" i="58"/>
  <c r="A1" i="58"/>
  <c r="C38" i="61"/>
  <c r="C45" i="41"/>
  <c r="C45" i="36"/>
  <c r="C35" i="34"/>
  <c r="A34" i="33"/>
  <c r="C34" i="33" s="1"/>
  <c r="A32" i="33"/>
  <c r="C32" i="33" s="1"/>
  <c r="A34" i="34"/>
  <c r="C34" i="34" s="1"/>
  <c r="A32" i="34"/>
  <c r="A34" i="32"/>
  <c r="C34" i="32" s="1"/>
  <c r="A32" i="32"/>
  <c r="C32" i="32" s="1"/>
  <c r="A34" i="31"/>
  <c r="C34" i="31" s="1"/>
  <c r="A32" i="31"/>
  <c r="C46" i="57"/>
  <c r="C45" i="57"/>
  <c r="C44" i="57"/>
  <c r="I43" i="57"/>
  <c r="J43" i="57" s="1"/>
  <c r="K43" i="57" s="1"/>
  <c r="C43" i="57"/>
  <c r="M42" i="57"/>
  <c r="I41" i="57"/>
  <c r="J41" i="57" s="1"/>
  <c r="K41" i="57" s="1"/>
  <c r="O37" i="57"/>
  <c r="O33" i="57"/>
  <c r="O29" i="57"/>
  <c r="O25" i="57"/>
  <c r="O21" i="57"/>
  <c r="O17" i="57"/>
  <c r="O13" i="57"/>
  <c r="O9" i="57"/>
  <c r="E37" i="57"/>
  <c r="E33" i="57"/>
  <c r="E29" i="57"/>
  <c r="E25" i="57"/>
  <c r="E21" i="57"/>
  <c r="E17" i="57"/>
  <c r="E13" i="57"/>
  <c r="M35" i="57"/>
  <c r="G35" i="57"/>
  <c r="K31" i="57"/>
  <c r="I31" i="57"/>
  <c r="M27" i="57"/>
  <c r="G27" i="57"/>
  <c r="K23" i="57"/>
  <c r="I23" i="57"/>
  <c r="M19" i="57"/>
  <c r="G19" i="57"/>
  <c r="K15" i="57"/>
  <c r="I15" i="57"/>
  <c r="M11" i="57"/>
  <c r="G11" i="57"/>
  <c r="I9" i="57"/>
  <c r="J9" i="57" s="1"/>
  <c r="K9" i="57" s="1"/>
  <c r="Q5" i="57"/>
  <c r="O5" i="57"/>
  <c r="G5" i="57"/>
  <c r="A5" i="57"/>
  <c r="B3" i="57"/>
  <c r="B1" i="57"/>
  <c r="E37" i="56"/>
  <c r="E33" i="56"/>
  <c r="E29" i="56"/>
  <c r="E25" i="56"/>
  <c r="E21" i="56"/>
  <c r="E17" i="56"/>
  <c r="O37" i="56"/>
  <c r="O33" i="56"/>
  <c r="O29" i="56"/>
  <c r="O25" i="56"/>
  <c r="O21" i="56"/>
  <c r="O17" i="56"/>
  <c r="M35" i="56"/>
  <c r="G35" i="56"/>
  <c r="K31" i="56"/>
  <c r="I31" i="56"/>
  <c r="M27" i="56"/>
  <c r="G27" i="56"/>
  <c r="K23" i="56"/>
  <c r="I23" i="56"/>
  <c r="M19" i="56"/>
  <c r="G19" i="56"/>
  <c r="K15" i="56"/>
  <c r="I15" i="56"/>
  <c r="M11" i="56"/>
  <c r="G11" i="56"/>
  <c r="C46" i="56"/>
  <c r="C45" i="56"/>
  <c r="C44" i="56"/>
  <c r="I43" i="56"/>
  <c r="J43" i="56" s="1"/>
  <c r="K43" i="56" s="1"/>
  <c r="C43" i="56"/>
  <c r="M42" i="56"/>
  <c r="I41" i="56"/>
  <c r="J41" i="56" s="1"/>
  <c r="K41" i="56" s="1"/>
  <c r="O13" i="56"/>
  <c r="E13" i="56"/>
  <c r="I9" i="56"/>
  <c r="J9" i="56" s="1"/>
  <c r="K9" i="56" s="1"/>
  <c r="Q5" i="56"/>
  <c r="O5" i="56"/>
  <c r="G5" i="56"/>
  <c r="A5" i="56"/>
  <c r="B3" i="56"/>
  <c r="B1" i="56"/>
  <c r="O37" i="55"/>
  <c r="O29" i="55"/>
  <c r="O25" i="55"/>
  <c r="O21" i="55"/>
  <c r="O17" i="55"/>
  <c r="O13" i="55"/>
  <c r="E37" i="55"/>
  <c r="E33" i="55"/>
  <c r="E29" i="55"/>
  <c r="E25" i="55"/>
  <c r="E21" i="55"/>
  <c r="E17" i="55"/>
  <c r="E13" i="55"/>
  <c r="M35" i="55"/>
  <c r="G35" i="55"/>
  <c r="K31" i="55"/>
  <c r="I31" i="55"/>
  <c r="M27" i="55"/>
  <c r="G27" i="55"/>
  <c r="K23" i="55"/>
  <c r="I23" i="55"/>
  <c r="M19" i="55"/>
  <c r="G19" i="55"/>
  <c r="K15" i="55"/>
  <c r="I15" i="55"/>
  <c r="M11" i="55"/>
  <c r="G11" i="55"/>
  <c r="C46" i="55"/>
  <c r="C45" i="55"/>
  <c r="C44" i="55"/>
  <c r="I43" i="55"/>
  <c r="J43" i="55" s="1"/>
  <c r="K43" i="55" s="1"/>
  <c r="C43" i="55"/>
  <c r="M42" i="55"/>
  <c r="I41" i="55"/>
  <c r="J41" i="55" s="1"/>
  <c r="K41" i="55" s="1"/>
  <c r="I9" i="55"/>
  <c r="J9" i="55" s="1"/>
  <c r="K9" i="55" s="1"/>
  <c r="Q5" i="55"/>
  <c r="O5" i="55"/>
  <c r="G5" i="55"/>
  <c r="A5" i="55"/>
  <c r="B3" i="55"/>
  <c r="B1" i="55"/>
  <c r="O37" i="54"/>
  <c r="O29" i="54"/>
  <c r="O25" i="54"/>
  <c r="O21" i="54"/>
  <c r="O17" i="54"/>
  <c r="E37" i="54"/>
  <c r="E29" i="54"/>
  <c r="E25" i="54"/>
  <c r="E21" i="54"/>
  <c r="E17" i="54"/>
  <c r="M35" i="54"/>
  <c r="G35" i="54"/>
  <c r="K31" i="54"/>
  <c r="I31" i="54"/>
  <c r="M27" i="54"/>
  <c r="G27" i="54"/>
  <c r="K23" i="54"/>
  <c r="I23" i="54"/>
  <c r="M19" i="54"/>
  <c r="G19" i="54"/>
  <c r="K15" i="54"/>
  <c r="I15" i="54"/>
  <c r="M11" i="54"/>
  <c r="G11" i="54"/>
  <c r="C46" i="54"/>
  <c r="C45" i="54"/>
  <c r="C44" i="54"/>
  <c r="I43" i="54"/>
  <c r="J43" i="54" s="1"/>
  <c r="K43" i="54" s="1"/>
  <c r="C43" i="54"/>
  <c r="M42" i="54"/>
  <c r="I41" i="54"/>
  <c r="J41" i="54" s="1"/>
  <c r="K41" i="54" s="1"/>
  <c r="O13" i="54"/>
  <c r="E13" i="54"/>
  <c r="I9" i="54"/>
  <c r="J9" i="54" s="1"/>
  <c r="K9" i="54" s="1"/>
  <c r="Q5" i="54"/>
  <c r="O5" i="54"/>
  <c r="G5" i="54"/>
  <c r="A5" i="54"/>
  <c r="B3" i="54"/>
  <c r="B1" i="54"/>
  <c r="O37" i="53"/>
  <c r="I31" i="53"/>
  <c r="I23" i="53"/>
  <c r="I15" i="53"/>
  <c r="K31" i="53"/>
  <c r="K23" i="53"/>
  <c r="K15" i="53"/>
  <c r="M35" i="53"/>
  <c r="M27" i="53"/>
  <c r="M19" i="53"/>
  <c r="G35" i="53"/>
  <c r="G27" i="53"/>
  <c r="G19" i="53"/>
  <c r="E37" i="53"/>
  <c r="E29" i="53"/>
  <c r="E25" i="53"/>
  <c r="E21" i="53"/>
  <c r="E17" i="53"/>
  <c r="C46" i="53"/>
  <c r="C45" i="53"/>
  <c r="C44" i="53"/>
  <c r="I43" i="53"/>
  <c r="J43" i="53" s="1"/>
  <c r="K43" i="53" s="1"/>
  <c r="C43" i="53"/>
  <c r="M42" i="53"/>
  <c r="I41" i="53"/>
  <c r="J41" i="53" s="1"/>
  <c r="K41" i="53" s="1"/>
  <c r="O13" i="53"/>
  <c r="E13" i="53"/>
  <c r="M11" i="53"/>
  <c r="G11" i="53"/>
  <c r="I9" i="53"/>
  <c r="J9" i="53" s="1"/>
  <c r="K9" i="53" s="1"/>
  <c r="Q5" i="53"/>
  <c r="O5" i="53"/>
  <c r="G5" i="53"/>
  <c r="A5" i="53"/>
  <c r="B3" i="53"/>
  <c r="B1" i="53"/>
  <c r="E37" i="52"/>
  <c r="E29" i="52"/>
  <c r="E21" i="52"/>
  <c r="E17" i="52"/>
  <c r="E37" i="51"/>
  <c r="E29" i="51"/>
  <c r="E21" i="51"/>
  <c r="E17" i="51"/>
  <c r="O37" i="51"/>
  <c r="O37" i="52"/>
  <c r="O29" i="52"/>
  <c r="O21" i="52"/>
  <c r="O17" i="52"/>
  <c r="M35" i="52"/>
  <c r="G35" i="52"/>
  <c r="I31" i="52"/>
  <c r="M27" i="52"/>
  <c r="G27" i="52"/>
  <c r="K23" i="52"/>
  <c r="I23" i="52"/>
  <c r="M19" i="52"/>
  <c r="G19" i="52"/>
  <c r="I15" i="52"/>
  <c r="M11" i="52"/>
  <c r="G11" i="52"/>
  <c r="C46" i="52"/>
  <c r="C45" i="52"/>
  <c r="C44" i="52"/>
  <c r="I43" i="52"/>
  <c r="J43" i="52" s="1"/>
  <c r="K43" i="52" s="1"/>
  <c r="C43" i="52"/>
  <c r="M42" i="52"/>
  <c r="I41" i="52"/>
  <c r="J41" i="52" s="1"/>
  <c r="K41" i="52" s="1"/>
  <c r="O13" i="52"/>
  <c r="E13" i="52"/>
  <c r="I9" i="52"/>
  <c r="J9" i="52" s="1"/>
  <c r="K9" i="52" s="1"/>
  <c r="Q5" i="52"/>
  <c r="O5" i="52"/>
  <c r="G5" i="52"/>
  <c r="A5" i="52"/>
  <c r="B3" i="52"/>
  <c r="B1" i="52"/>
  <c r="M35" i="51"/>
  <c r="G35" i="51"/>
  <c r="I31" i="51"/>
  <c r="M27" i="51"/>
  <c r="G27" i="51"/>
  <c r="K23" i="51"/>
  <c r="I23" i="51"/>
  <c r="M19" i="51"/>
  <c r="G19" i="51"/>
  <c r="I15" i="51"/>
  <c r="M11" i="51"/>
  <c r="G11" i="51"/>
  <c r="C46" i="51"/>
  <c r="C45" i="51"/>
  <c r="C44" i="51"/>
  <c r="I43" i="51"/>
  <c r="J43" i="51" s="1"/>
  <c r="K43" i="51" s="1"/>
  <c r="C43" i="51"/>
  <c r="M42" i="51"/>
  <c r="I41" i="51"/>
  <c r="J41" i="51" s="1"/>
  <c r="K41" i="51" s="1"/>
  <c r="O13" i="51"/>
  <c r="E13" i="51"/>
  <c r="I9" i="51"/>
  <c r="J9" i="51" s="1"/>
  <c r="K9" i="51" s="1"/>
  <c r="Q5" i="51"/>
  <c r="O5" i="51"/>
  <c r="G5" i="51"/>
  <c r="A5" i="51"/>
  <c r="B3" i="51"/>
  <c r="B1" i="51"/>
  <c r="K23" i="50"/>
  <c r="O37" i="50"/>
  <c r="M35" i="50"/>
  <c r="O29" i="50"/>
  <c r="M27" i="50"/>
  <c r="O21" i="50"/>
  <c r="M19" i="50"/>
  <c r="O13" i="50"/>
  <c r="M11" i="50"/>
  <c r="I31" i="50"/>
  <c r="I23" i="50"/>
  <c r="I15" i="50"/>
  <c r="E37" i="50"/>
  <c r="G35" i="50"/>
  <c r="E29" i="50"/>
  <c r="G27" i="50"/>
  <c r="E21" i="50"/>
  <c r="G19" i="50"/>
  <c r="C46" i="50"/>
  <c r="C45" i="50"/>
  <c r="C44" i="50"/>
  <c r="I43" i="50"/>
  <c r="J43" i="50" s="1"/>
  <c r="K43" i="50" s="1"/>
  <c r="C43" i="50"/>
  <c r="M42" i="50"/>
  <c r="I41" i="50"/>
  <c r="J41" i="50" s="1"/>
  <c r="K41" i="50" s="1"/>
  <c r="E13" i="50"/>
  <c r="G11" i="50"/>
  <c r="I9" i="50"/>
  <c r="J9" i="50" s="1"/>
  <c r="K9" i="50" s="1"/>
  <c r="Q5" i="50"/>
  <c r="O5" i="50"/>
  <c r="G5" i="50"/>
  <c r="A5" i="50"/>
  <c r="B3" i="50"/>
  <c r="B1" i="50"/>
  <c r="K15" i="49"/>
  <c r="K23" i="49"/>
  <c r="K31" i="49"/>
  <c r="M35" i="49"/>
  <c r="M19" i="49"/>
  <c r="M27" i="49"/>
  <c r="O29" i="49"/>
  <c r="O21" i="49"/>
  <c r="I31" i="49"/>
  <c r="I23" i="49"/>
  <c r="I15" i="49"/>
  <c r="G35" i="49"/>
  <c r="E37" i="49"/>
  <c r="E29" i="49"/>
  <c r="G27" i="49"/>
  <c r="E21" i="49"/>
  <c r="G19" i="49"/>
  <c r="C46" i="49"/>
  <c r="C45" i="49"/>
  <c r="C44" i="49"/>
  <c r="I43" i="49"/>
  <c r="J43" i="49" s="1"/>
  <c r="K43" i="49" s="1"/>
  <c r="C43" i="49"/>
  <c r="M42" i="49"/>
  <c r="I41" i="49"/>
  <c r="J41" i="49" s="1"/>
  <c r="K41" i="49" s="1"/>
  <c r="E13" i="49"/>
  <c r="M11" i="49"/>
  <c r="G11" i="49"/>
  <c r="I9" i="49"/>
  <c r="J9" i="49" s="1"/>
  <c r="K9" i="49" s="1"/>
  <c r="Q5" i="49"/>
  <c r="O5" i="49"/>
  <c r="G5" i="49"/>
  <c r="A5" i="49"/>
  <c r="B3" i="49"/>
  <c r="B1" i="49"/>
  <c r="E29" i="48"/>
  <c r="E21" i="48"/>
  <c r="K31" i="48"/>
  <c r="K23" i="48"/>
  <c r="K15" i="48"/>
  <c r="M35" i="48"/>
  <c r="M27" i="48"/>
  <c r="M19" i="48"/>
  <c r="I31" i="48"/>
  <c r="I23" i="48"/>
  <c r="I15" i="48"/>
  <c r="G35" i="48"/>
  <c r="G27" i="48"/>
  <c r="G19" i="48"/>
  <c r="C45" i="48"/>
  <c r="C44" i="48"/>
  <c r="C43" i="48"/>
  <c r="I42" i="48"/>
  <c r="J42" i="48" s="1"/>
  <c r="K42" i="48" s="1"/>
  <c r="C42" i="48"/>
  <c r="M41" i="48"/>
  <c r="I40" i="48"/>
  <c r="J40" i="48" s="1"/>
  <c r="K40" i="48" s="1"/>
  <c r="E13" i="48"/>
  <c r="M11" i="48"/>
  <c r="G11" i="48"/>
  <c r="I9" i="48"/>
  <c r="J9" i="48" s="1"/>
  <c r="K9" i="48" s="1"/>
  <c r="Q5" i="48"/>
  <c r="O5" i="48"/>
  <c r="G5" i="48"/>
  <c r="A5" i="48"/>
  <c r="B3" i="48"/>
  <c r="B1" i="48"/>
  <c r="E13" i="47"/>
  <c r="E21" i="47"/>
  <c r="E29" i="47"/>
  <c r="O29" i="47"/>
  <c r="C45" i="47"/>
  <c r="C44" i="47"/>
  <c r="C43" i="47"/>
  <c r="I42" i="47"/>
  <c r="J42" i="47" s="1"/>
  <c r="K42" i="47" s="1"/>
  <c r="C42" i="47"/>
  <c r="M41" i="47"/>
  <c r="I40" i="47"/>
  <c r="J40" i="47" s="1"/>
  <c r="K40" i="47" s="1"/>
  <c r="M35" i="47"/>
  <c r="G35" i="47"/>
  <c r="K31" i="47"/>
  <c r="I31" i="47"/>
  <c r="M27" i="47"/>
  <c r="G27" i="47"/>
  <c r="K23" i="47"/>
  <c r="I23" i="47"/>
  <c r="M19" i="47"/>
  <c r="G19" i="47"/>
  <c r="K15" i="47"/>
  <c r="I15" i="47"/>
  <c r="M11" i="47"/>
  <c r="G11" i="47"/>
  <c r="I9" i="47"/>
  <c r="J9" i="47" s="1"/>
  <c r="K9" i="47" s="1"/>
  <c r="Q5" i="47"/>
  <c r="O5" i="47"/>
  <c r="G5" i="47"/>
  <c r="A5" i="47"/>
  <c r="B3" i="47"/>
  <c r="B1" i="47"/>
  <c r="Q5" i="46"/>
  <c r="O5" i="46"/>
  <c r="G5" i="46"/>
  <c r="A5" i="46"/>
  <c r="B3" i="46"/>
  <c r="B1" i="46"/>
  <c r="M35" i="46"/>
  <c r="K31" i="46"/>
  <c r="M27" i="46"/>
  <c r="K23" i="46"/>
  <c r="M19" i="46"/>
  <c r="K15" i="46"/>
  <c r="M11" i="46"/>
  <c r="I15" i="46"/>
  <c r="I23" i="46"/>
  <c r="I31" i="46"/>
  <c r="G35" i="46"/>
  <c r="G27" i="46"/>
  <c r="G19" i="46"/>
  <c r="I42" i="46"/>
  <c r="J42" i="46" s="1"/>
  <c r="K42" i="46" s="1"/>
  <c r="M41" i="46"/>
  <c r="I40" i="46"/>
  <c r="J40" i="46" s="1"/>
  <c r="K40" i="46" s="1"/>
  <c r="C45" i="46"/>
  <c r="C44" i="46"/>
  <c r="C43" i="46"/>
  <c r="C42" i="46"/>
  <c r="G11" i="46"/>
  <c r="I9" i="46"/>
  <c r="J9" i="46" s="1"/>
  <c r="K9" i="46" s="1"/>
  <c r="Q5" i="45"/>
  <c r="O5" i="45"/>
  <c r="G5" i="45"/>
  <c r="A5" i="45"/>
  <c r="B3" i="45"/>
  <c r="B1" i="45"/>
  <c r="M35" i="45"/>
  <c r="G35" i="45"/>
  <c r="K31" i="45"/>
  <c r="I31" i="45"/>
  <c r="M27" i="45"/>
  <c r="G27" i="45"/>
  <c r="K23" i="45"/>
  <c r="I23" i="45"/>
  <c r="M19" i="45"/>
  <c r="G19" i="45"/>
  <c r="K15" i="45"/>
  <c r="I15" i="45"/>
  <c r="M11" i="45"/>
  <c r="G11" i="45"/>
  <c r="I9" i="45"/>
  <c r="J9" i="45" s="1"/>
  <c r="K9" i="45" s="1"/>
  <c r="I42" i="45"/>
  <c r="J42" i="45" s="1"/>
  <c r="K42" i="45" s="1"/>
  <c r="M41" i="45"/>
  <c r="I40" i="45"/>
  <c r="J40" i="45" s="1"/>
  <c r="K40" i="45" s="1"/>
  <c r="C45" i="45"/>
  <c r="C44" i="45"/>
  <c r="C43" i="45"/>
  <c r="C42" i="45"/>
  <c r="C45" i="44"/>
  <c r="C44" i="44"/>
  <c r="C43" i="44"/>
  <c r="C42" i="44"/>
  <c r="M41" i="44"/>
  <c r="I31" i="44"/>
  <c r="K15" i="44"/>
  <c r="K23" i="44"/>
  <c r="K31" i="44"/>
  <c r="M35" i="44"/>
  <c r="M27" i="44"/>
  <c r="M19" i="44"/>
  <c r="M11" i="44"/>
  <c r="I23" i="44"/>
  <c r="I15" i="44"/>
  <c r="G35" i="44"/>
  <c r="G27" i="44"/>
  <c r="G19" i="44"/>
  <c r="G11" i="44"/>
  <c r="I42" i="44"/>
  <c r="J42" i="44" s="1"/>
  <c r="K42" i="44" s="1"/>
  <c r="I40" i="44"/>
  <c r="J40" i="44" s="1"/>
  <c r="K40" i="44" s="1"/>
  <c r="I9" i="44"/>
  <c r="J9" i="44" s="1"/>
  <c r="K9" i="44" s="1"/>
  <c r="Q5" i="44"/>
  <c r="O5" i="44"/>
  <c r="G5" i="44"/>
  <c r="A5" i="44"/>
  <c r="B3" i="44"/>
  <c r="B1" i="44"/>
  <c r="C43" i="43"/>
  <c r="C44" i="43"/>
  <c r="C45" i="43"/>
  <c r="C42" i="43"/>
  <c r="C43" i="42"/>
  <c r="M41" i="43"/>
  <c r="I31" i="43"/>
  <c r="I42" i="43"/>
  <c r="J42" i="43" s="1"/>
  <c r="K42" i="43" s="1"/>
  <c r="I40" i="43"/>
  <c r="J40" i="43" s="1"/>
  <c r="K40" i="43" s="1"/>
  <c r="M35" i="43"/>
  <c r="M27" i="43"/>
  <c r="M19" i="43"/>
  <c r="M11" i="43"/>
  <c r="K31" i="43"/>
  <c r="K23" i="43"/>
  <c r="K15" i="43"/>
  <c r="I9" i="43"/>
  <c r="J9" i="43" s="1"/>
  <c r="K9" i="43" s="1"/>
  <c r="I15" i="43"/>
  <c r="G35" i="43"/>
  <c r="G27" i="43"/>
  <c r="G19" i="43"/>
  <c r="G11" i="43"/>
  <c r="Q5" i="43"/>
  <c r="O5" i="43"/>
  <c r="G5" i="43"/>
  <c r="A5" i="43"/>
  <c r="B3" i="43"/>
  <c r="B1" i="43"/>
  <c r="C45" i="42"/>
  <c r="C44" i="42"/>
  <c r="K39" i="42"/>
  <c r="I40" i="42"/>
  <c r="I38" i="42"/>
  <c r="K24" i="42"/>
  <c r="I32" i="42"/>
  <c r="I16" i="42"/>
  <c r="G36" i="42"/>
  <c r="G28" i="42"/>
  <c r="G20" i="42"/>
  <c r="G12" i="42"/>
  <c r="E38" i="42"/>
  <c r="E34" i="42"/>
  <c r="E30" i="42"/>
  <c r="E26" i="42"/>
  <c r="E22" i="42"/>
  <c r="E18" i="42"/>
  <c r="E14" i="42"/>
  <c r="E10" i="42"/>
  <c r="E13" i="41"/>
  <c r="K5" i="42"/>
  <c r="I5" i="42"/>
  <c r="D5" i="42"/>
  <c r="A5" i="42"/>
  <c r="A3" i="42"/>
  <c r="A1" i="42"/>
  <c r="I37" i="41"/>
  <c r="I39" i="41"/>
  <c r="K38" i="41"/>
  <c r="K23" i="41"/>
  <c r="I31" i="41"/>
  <c r="I15" i="41"/>
  <c r="G11" i="41"/>
  <c r="G19" i="41"/>
  <c r="G27" i="41"/>
  <c r="G35" i="41"/>
  <c r="E37" i="41"/>
  <c r="E33" i="41"/>
  <c r="E29" i="41"/>
  <c r="E25" i="41"/>
  <c r="E21" i="41"/>
  <c r="E17" i="41"/>
  <c r="C43" i="41"/>
  <c r="K5" i="41"/>
  <c r="I5" i="41"/>
  <c r="D5" i="41"/>
  <c r="A5" i="41"/>
  <c r="A3" i="41"/>
  <c r="A1" i="41"/>
  <c r="C44" i="40"/>
  <c r="C43" i="40"/>
  <c r="E37" i="40"/>
  <c r="K38" i="40"/>
  <c r="I39" i="40"/>
  <c r="I37" i="40"/>
  <c r="G35" i="40"/>
  <c r="E33" i="40"/>
  <c r="E29" i="40"/>
  <c r="I31" i="40"/>
  <c r="G27" i="40"/>
  <c r="K23" i="40"/>
  <c r="I15" i="40"/>
  <c r="G19" i="40"/>
  <c r="E21" i="40"/>
  <c r="E17" i="40"/>
  <c r="E13" i="40"/>
  <c r="G11" i="40"/>
  <c r="K5" i="40"/>
  <c r="I5" i="40"/>
  <c r="D5" i="40"/>
  <c r="A5" i="40"/>
  <c r="A3" i="40"/>
  <c r="A1" i="40"/>
  <c r="C45" i="39"/>
  <c r="C43" i="39"/>
  <c r="C42" i="39"/>
  <c r="K38" i="39"/>
  <c r="I39" i="39"/>
  <c r="I37" i="39"/>
  <c r="E37" i="39"/>
  <c r="I31" i="39"/>
  <c r="G35" i="39"/>
  <c r="E29" i="39"/>
  <c r="G27" i="39"/>
  <c r="K23" i="39"/>
  <c r="I15" i="39"/>
  <c r="G19" i="39"/>
  <c r="E21" i="39"/>
  <c r="E17" i="39"/>
  <c r="E13" i="39"/>
  <c r="G11" i="39"/>
  <c r="K5" i="39"/>
  <c r="I5" i="39"/>
  <c r="D5" i="39"/>
  <c r="A5" i="39"/>
  <c r="A3" i="39"/>
  <c r="A1" i="39"/>
  <c r="C45" i="38"/>
  <c r="C44" i="38"/>
  <c r="C43" i="38"/>
  <c r="K38" i="38"/>
  <c r="I39" i="38"/>
  <c r="I37" i="38"/>
  <c r="E37" i="38"/>
  <c r="E29" i="38"/>
  <c r="G35" i="38"/>
  <c r="I31" i="38"/>
  <c r="K23" i="38"/>
  <c r="G27" i="38"/>
  <c r="E21" i="38"/>
  <c r="G19" i="38"/>
  <c r="I15" i="38"/>
  <c r="E13" i="38"/>
  <c r="G11" i="38"/>
  <c r="K5" i="38"/>
  <c r="I5" i="38"/>
  <c r="D5" i="38"/>
  <c r="A5" i="38"/>
  <c r="A3" i="38"/>
  <c r="A1" i="38"/>
  <c r="C44" i="37"/>
  <c r="C43" i="37"/>
  <c r="K38" i="37"/>
  <c r="I39" i="37"/>
  <c r="I37" i="37"/>
  <c r="I31" i="37"/>
  <c r="G35" i="37"/>
  <c r="E29" i="37"/>
  <c r="G27" i="37"/>
  <c r="K23" i="37"/>
  <c r="E21" i="37"/>
  <c r="I15" i="37"/>
  <c r="G19" i="37"/>
  <c r="E13" i="37"/>
  <c r="G11" i="37"/>
  <c r="K5" i="37"/>
  <c r="I5" i="37"/>
  <c r="D5" i="37"/>
  <c r="A5" i="37"/>
  <c r="A3" i="37"/>
  <c r="A1" i="37"/>
  <c r="C43" i="36"/>
  <c r="K38" i="36"/>
  <c r="I39" i="36"/>
  <c r="I37" i="36"/>
  <c r="I31" i="36"/>
  <c r="G35" i="36"/>
  <c r="E29" i="36"/>
  <c r="G27" i="36"/>
  <c r="K23" i="36"/>
  <c r="I15" i="36"/>
  <c r="G19" i="36"/>
  <c r="E13" i="36"/>
  <c r="G11" i="36"/>
  <c r="K5" i="36"/>
  <c r="I5" i="36"/>
  <c r="D5" i="36"/>
  <c r="A5" i="36"/>
  <c r="A3" i="36"/>
  <c r="A1" i="36"/>
  <c r="C43" i="35"/>
  <c r="C42" i="35"/>
  <c r="K23" i="35"/>
  <c r="K38" i="35"/>
  <c r="I39" i="35"/>
  <c r="I37" i="35"/>
  <c r="I31" i="35"/>
  <c r="I15" i="35"/>
  <c r="G35" i="35"/>
  <c r="G27" i="35"/>
  <c r="G19" i="35"/>
  <c r="E13" i="35"/>
  <c r="G11" i="35"/>
  <c r="K5" i="35"/>
  <c r="I5" i="35"/>
  <c r="D5" i="35"/>
  <c r="A5" i="35"/>
  <c r="A3" i="35"/>
  <c r="A1" i="35"/>
  <c r="J5" i="34"/>
  <c r="I5" i="34"/>
  <c r="D5" i="34"/>
  <c r="A5" i="34"/>
  <c r="A3" i="34"/>
  <c r="A1" i="34"/>
  <c r="C33" i="34"/>
  <c r="C32" i="34"/>
  <c r="I27" i="34"/>
  <c r="G28" i="34"/>
  <c r="G26" i="34"/>
  <c r="I16" i="34"/>
  <c r="G12" i="34"/>
  <c r="G20" i="34"/>
  <c r="E22" i="34"/>
  <c r="E18" i="34"/>
  <c r="E14" i="34"/>
  <c r="E10" i="34"/>
  <c r="C33" i="33"/>
  <c r="I27" i="33"/>
  <c r="G28" i="33"/>
  <c r="I16" i="33"/>
  <c r="G20" i="33"/>
  <c r="E22" i="33"/>
  <c r="E18" i="33"/>
  <c r="E14" i="33"/>
  <c r="G12" i="33"/>
  <c r="J5" i="33"/>
  <c r="I5" i="33"/>
  <c r="D5" i="33"/>
  <c r="A5" i="33"/>
  <c r="A3" i="33"/>
  <c r="A1" i="33"/>
  <c r="I5" i="32"/>
  <c r="D5" i="32"/>
  <c r="A5" i="32"/>
  <c r="A3" i="32"/>
  <c r="A1" i="32"/>
  <c r="C33" i="32"/>
  <c r="I27" i="32"/>
  <c r="G28" i="32"/>
  <c r="I16" i="32"/>
  <c r="E22" i="32"/>
  <c r="G20" i="32"/>
  <c r="E14" i="32"/>
  <c r="G12" i="32"/>
  <c r="C33" i="31"/>
  <c r="C32" i="31"/>
  <c r="I27" i="31"/>
  <c r="G28" i="31"/>
  <c r="G20" i="31"/>
  <c r="I16" i="31"/>
  <c r="E14" i="31"/>
  <c r="G12" i="31"/>
  <c r="E9" i="15"/>
  <c r="A3" i="31"/>
  <c r="J5" i="31"/>
  <c r="I5" i="31"/>
  <c r="D5" i="31"/>
  <c r="A5" i="31"/>
  <c r="A1" i="31"/>
  <c r="C43" i="15"/>
  <c r="I42" i="15"/>
  <c r="I40" i="15"/>
  <c r="M41" i="15"/>
  <c r="I9" i="15"/>
  <c r="I23" i="15"/>
  <c r="Q5" i="15"/>
  <c r="O5" i="15"/>
  <c r="G5" i="15"/>
  <c r="B3" i="15"/>
  <c r="B1" i="15"/>
  <c r="K23" i="15"/>
  <c r="K31" i="15"/>
  <c r="K15" i="15"/>
  <c r="I15" i="15"/>
  <c r="M19" i="15"/>
  <c r="M27" i="15"/>
  <c r="M35" i="15"/>
  <c r="M11" i="15"/>
  <c r="G11" i="15"/>
  <c r="O13" i="15"/>
  <c r="O17" i="15"/>
  <c r="O21" i="15"/>
  <c r="O25" i="15"/>
  <c r="O29" i="15"/>
  <c r="O33" i="15"/>
  <c r="O37" i="15"/>
  <c r="O9" i="15"/>
  <c r="E37" i="15"/>
  <c r="G35" i="15"/>
  <c r="E33" i="15"/>
  <c r="I31" i="15"/>
  <c r="E29" i="15"/>
  <c r="G27" i="15"/>
  <c r="E25" i="15"/>
  <c r="E21" i="15"/>
  <c r="G19" i="15"/>
  <c r="E17" i="15"/>
  <c r="E13" i="15"/>
  <c r="A5" i="15"/>
  <c r="G26" i="32" l="1"/>
  <c r="A35" i="32"/>
  <c r="C35" i="32" s="1"/>
  <c r="D7" i="62"/>
  <c r="D84" i="62" s="1"/>
  <c r="Q12" i="48"/>
  <c r="C34" i="60"/>
  <c r="B17" i="60"/>
  <c r="Q30" i="15"/>
  <c r="Q28" i="15"/>
  <c r="Q10" i="15"/>
  <c r="Q8" i="15"/>
  <c r="B18" i="31"/>
  <c r="B23" i="33"/>
  <c r="B15" i="34"/>
  <c r="B29" i="35"/>
  <c r="B25" i="35"/>
  <c r="B30" i="36"/>
  <c r="D25" i="36"/>
  <c r="D33" i="37"/>
  <c r="D37" i="37"/>
  <c r="B14" i="38"/>
  <c r="B22" i="38"/>
  <c r="B20" i="39"/>
  <c r="B16" i="39"/>
  <c r="B30" i="40"/>
  <c r="B22" i="40"/>
  <c r="B30" i="41"/>
  <c r="B26" i="41"/>
  <c r="B27" i="42"/>
  <c r="B31" i="42"/>
  <c r="O13" i="43"/>
  <c r="Q33" i="43"/>
  <c r="B29" i="43"/>
  <c r="D33" i="43"/>
  <c r="B33" i="44"/>
  <c r="D21" i="44"/>
  <c r="B37" i="44"/>
  <c r="D33" i="44"/>
  <c r="D33" i="45"/>
  <c r="B33" i="45"/>
  <c r="D17" i="45"/>
  <c r="B17" i="45"/>
  <c r="Q14" i="46"/>
  <c r="D25" i="46"/>
  <c r="B30" i="15"/>
  <c r="B22" i="15"/>
  <c r="B24" i="15"/>
  <c r="B22" i="31"/>
  <c r="B13" i="32"/>
  <c r="B10" i="33"/>
  <c r="B13" i="34"/>
  <c r="D25" i="35"/>
  <c r="D29" i="35"/>
  <c r="B28" i="36"/>
  <c r="B25" i="36"/>
  <c r="B14" i="37"/>
  <c r="B37" i="37"/>
  <c r="D33" i="38"/>
  <c r="B20" i="38"/>
  <c r="B18" i="39"/>
  <c r="B22" i="39"/>
  <c r="B28" i="40"/>
  <c r="B20" i="40"/>
  <c r="B28" i="41"/>
  <c r="B24" i="41"/>
  <c r="B25" i="42"/>
  <c r="B29" i="42"/>
  <c r="D37" i="43"/>
  <c r="O29" i="43"/>
  <c r="O25" i="43"/>
  <c r="Q29" i="43"/>
  <c r="Q33" i="44"/>
  <c r="O33" i="44"/>
  <c r="Q37" i="44"/>
  <c r="O37" i="44"/>
  <c r="Q37" i="45"/>
  <c r="O37" i="45"/>
  <c r="Q25" i="45"/>
  <c r="O25" i="45"/>
  <c r="O25" i="46"/>
  <c r="B30" i="46"/>
  <c r="B20" i="15"/>
  <c r="Q14" i="15"/>
  <c r="B38" i="15"/>
  <c r="Q12" i="15"/>
  <c r="Q26" i="15"/>
  <c r="B12" i="15"/>
  <c r="B32" i="15"/>
  <c r="Q24" i="15"/>
  <c r="B8" i="15"/>
  <c r="B18" i="32"/>
  <c r="B21" i="32"/>
  <c r="B13" i="33"/>
  <c r="B19" i="34"/>
  <c r="B11" i="34"/>
  <c r="B12" i="35"/>
  <c r="D9" i="35"/>
  <c r="B9" i="35"/>
  <c r="B14" i="35"/>
  <c r="B14" i="36"/>
  <c r="B12" i="36"/>
  <c r="D9" i="36"/>
  <c r="B9" i="36"/>
  <c r="B9" i="37"/>
  <c r="B17" i="37"/>
  <c r="B12" i="37"/>
  <c r="D9" i="37"/>
  <c r="D9" i="38"/>
  <c r="B9" i="38"/>
  <c r="B17" i="38"/>
  <c r="B12" i="38"/>
  <c r="B12" i="39"/>
  <c r="D9" i="39"/>
  <c r="B9" i="39"/>
  <c r="B25" i="39"/>
  <c r="B25" i="40"/>
  <c r="B12" i="40"/>
  <c r="D9" i="40"/>
  <c r="B9" i="40"/>
  <c r="B14" i="41"/>
  <c r="B12" i="41"/>
  <c r="D9" i="41"/>
  <c r="B9" i="41"/>
  <c r="B11" i="42"/>
  <c r="B9" i="42"/>
  <c r="B15" i="42"/>
  <c r="B13" i="42"/>
  <c r="B17" i="43"/>
  <c r="D21" i="43"/>
  <c r="Q17" i="43"/>
  <c r="Q9" i="43"/>
  <c r="B9" i="43"/>
  <c r="B12" i="43"/>
  <c r="D17" i="43"/>
  <c r="Q13" i="43"/>
  <c r="B17" i="44"/>
  <c r="Q17" i="44"/>
  <c r="D9" i="44"/>
  <c r="D37" i="44"/>
  <c r="B21" i="44"/>
  <c r="Q21" i="44"/>
  <c r="D17" i="44"/>
  <c r="O21" i="44"/>
  <c r="Q12" i="45"/>
  <c r="Q21" i="45"/>
  <c r="B12" i="45"/>
  <c r="O21" i="45"/>
  <c r="Q9" i="45"/>
  <c r="D37" i="45"/>
  <c r="O9" i="45"/>
  <c r="B37" i="45"/>
  <c r="B12" i="46"/>
  <c r="B33" i="46"/>
  <c r="Q28" i="46"/>
  <c r="Q21" i="46"/>
  <c r="Q9" i="46"/>
  <c r="O9" i="46"/>
  <c r="B37" i="46"/>
  <c r="D21" i="46"/>
  <c r="Q37" i="46"/>
  <c r="D37" i="47"/>
  <c r="Q30" i="47"/>
  <c r="O21" i="47"/>
  <c r="D9" i="47"/>
  <c r="B22" i="47"/>
  <c r="Q12" i="47"/>
  <c r="B17" i="47"/>
  <c r="O25" i="47"/>
  <c r="B30" i="48"/>
  <c r="B9" i="48"/>
  <c r="O25" i="48"/>
  <c r="D17" i="48"/>
  <c r="Q33" i="48"/>
  <c r="O9" i="48"/>
  <c r="B17" i="48"/>
  <c r="O33" i="48"/>
  <c r="Q12" i="49"/>
  <c r="D9" i="49"/>
  <c r="O17" i="49"/>
  <c r="B22" i="49"/>
  <c r="Q30" i="49"/>
  <c r="O25" i="49"/>
  <c r="D17" i="49"/>
  <c r="Q33" i="49"/>
  <c r="B36" i="50"/>
  <c r="D9" i="50"/>
  <c r="B30" i="50"/>
  <c r="B9" i="50"/>
  <c r="B33" i="50"/>
  <c r="O9" i="50"/>
  <c r="B38" i="50"/>
  <c r="B12" i="50"/>
  <c r="Q20" i="51"/>
  <c r="D33" i="51"/>
  <c r="Q12" i="51"/>
  <c r="B33" i="51"/>
  <c r="D9" i="51"/>
  <c r="B30" i="51"/>
  <c r="Q25" i="51"/>
  <c r="Q36" i="51"/>
  <c r="B12" i="52"/>
  <c r="B30" i="52"/>
  <c r="B9" i="52"/>
  <c r="B28" i="52"/>
  <c r="O9" i="52"/>
  <c r="Q38" i="52"/>
  <c r="B20" i="52"/>
  <c r="O33" i="52"/>
  <c r="B36" i="53"/>
  <c r="O9" i="53"/>
  <c r="B22" i="53"/>
  <c r="Q30" i="53"/>
  <c r="O25" i="53"/>
  <c r="B18" i="53"/>
  <c r="Q22" i="53"/>
  <c r="Q12" i="53"/>
  <c r="B30" i="54"/>
  <c r="B33" i="54"/>
  <c r="Q24" i="54"/>
  <c r="D9" i="54"/>
  <c r="B38" i="54"/>
  <c r="B24" i="54"/>
  <c r="Q38" i="55"/>
  <c r="Q24" i="55"/>
  <c r="Q14" i="55"/>
  <c r="Q20" i="55"/>
  <c r="Q16" i="56"/>
  <c r="Q22" i="56"/>
  <c r="B28" i="56"/>
  <c r="B34" i="56"/>
  <c r="B38" i="57"/>
  <c r="B36" i="57"/>
  <c r="B34" i="57"/>
  <c r="B32" i="57"/>
  <c r="V83" i="62"/>
  <c r="B28" i="61"/>
  <c r="B21" i="61"/>
  <c r="B14" i="61"/>
  <c r="B21" i="60"/>
  <c r="B14" i="60"/>
  <c r="B10" i="31"/>
  <c r="Q24" i="57"/>
  <c r="Q8" i="57"/>
  <c r="B24" i="57"/>
  <c r="B9" i="57"/>
  <c r="Q26" i="57"/>
  <c r="Q10" i="57"/>
  <c r="B26" i="57"/>
  <c r="D9" i="57"/>
  <c r="Q28" i="57"/>
  <c r="Q12" i="57"/>
  <c r="B28" i="57"/>
  <c r="B12" i="57"/>
  <c r="Q30" i="57"/>
  <c r="Q14" i="57"/>
  <c r="B30" i="57"/>
  <c r="B14" i="57"/>
  <c r="Q34" i="56"/>
  <c r="Q18" i="56"/>
  <c r="B26" i="56"/>
  <c r="Q9" i="56"/>
  <c r="Q28" i="56"/>
  <c r="B36" i="56"/>
  <c r="B20" i="56"/>
  <c r="B12" i="56"/>
  <c r="O9" i="56"/>
  <c r="Q30" i="56"/>
  <c r="B38" i="56"/>
  <c r="B22" i="56"/>
  <c r="Q12" i="56"/>
  <c r="Q24" i="56"/>
  <c r="B32" i="56"/>
  <c r="B16" i="56"/>
  <c r="B24" i="55"/>
  <c r="Q28" i="55"/>
  <c r="Q12" i="55"/>
  <c r="B34" i="55"/>
  <c r="Q33" i="55"/>
  <c r="Q22" i="55"/>
  <c r="B14" i="55"/>
  <c r="D9" i="55"/>
  <c r="B28" i="55"/>
  <c r="Q36" i="55"/>
  <c r="Q16" i="55"/>
  <c r="Q9" i="55"/>
  <c r="B38" i="55"/>
  <c r="B22" i="55"/>
  <c r="Q26" i="55"/>
  <c r="B18" i="55"/>
  <c r="Q28" i="54"/>
  <c r="B36" i="54"/>
  <c r="B16" i="54"/>
  <c r="B9" i="54"/>
  <c r="Q33" i="54"/>
  <c r="Q22" i="54"/>
  <c r="B26" i="54"/>
  <c r="B24" i="61"/>
  <c r="B10" i="61"/>
  <c r="B10" i="60"/>
  <c r="Q16" i="57"/>
  <c r="B16" i="57"/>
  <c r="Q18" i="57"/>
  <c r="B18" i="57"/>
  <c r="Q20" i="57"/>
  <c r="B20" i="57"/>
  <c r="Q22" i="57"/>
  <c r="B22" i="57"/>
  <c r="Q26" i="56"/>
  <c r="B18" i="56"/>
  <c r="Q20" i="56"/>
  <c r="B14" i="56"/>
  <c r="Q38" i="56"/>
  <c r="B30" i="56"/>
  <c r="Q32" i="56"/>
  <c r="B24" i="56"/>
  <c r="O33" i="55"/>
  <c r="B12" i="55"/>
  <c r="Q30" i="55"/>
  <c r="O9" i="55"/>
  <c r="B20" i="55"/>
  <c r="B16" i="55"/>
  <c r="B30" i="55"/>
  <c r="Q18" i="55"/>
  <c r="Q20" i="54"/>
  <c r="Q9" i="54"/>
  <c r="Q30" i="54"/>
  <c r="B18" i="54"/>
  <c r="B12" i="54"/>
  <c r="Q14" i="54"/>
  <c r="Q36" i="54"/>
  <c r="Q16" i="54"/>
  <c r="B20" i="54"/>
  <c r="Q38" i="54"/>
  <c r="Q18" i="54"/>
  <c r="B22" i="54"/>
  <c r="Q14" i="53"/>
  <c r="Q9" i="53"/>
  <c r="Q38" i="53"/>
  <c r="Q33" i="53"/>
  <c r="B26" i="53"/>
  <c r="D9" i="53"/>
  <c r="Q16" i="53"/>
  <c r="B28" i="53"/>
  <c r="B33" i="53"/>
  <c r="Q18" i="53"/>
  <c r="B30" i="53"/>
  <c r="D33" i="53"/>
  <c r="B12" i="53"/>
  <c r="Q36" i="53"/>
  <c r="O33" i="53"/>
  <c r="B24" i="53"/>
  <c r="Q14" i="52"/>
  <c r="Q36" i="52"/>
  <c r="B36" i="52"/>
  <c r="B33" i="52"/>
  <c r="Q33" i="52"/>
  <c r="Q22" i="52"/>
  <c r="D33" i="52"/>
  <c r="O25" i="52"/>
  <c r="Q16" i="52"/>
  <c r="B16" i="52"/>
  <c r="Q9" i="52"/>
  <c r="Q25" i="52"/>
  <c r="Q18" i="52"/>
  <c r="B18" i="52"/>
  <c r="B14" i="52"/>
  <c r="D9" i="52"/>
  <c r="O25" i="51"/>
  <c r="B25" i="51"/>
  <c r="Q9" i="51"/>
  <c r="Q38" i="51"/>
  <c r="D25" i="51"/>
  <c r="B18" i="51"/>
  <c r="B12" i="51"/>
  <c r="O33" i="51"/>
  <c r="Q28" i="51"/>
  <c r="B36" i="51"/>
  <c r="Q14" i="51"/>
  <c r="Q33" i="51"/>
  <c r="Q30" i="51"/>
  <c r="B38" i="51"/>
  <c r="O9" i="51"/>
  <c r="B16" i="51"/>
  <c r="Q14" i="50"/>
  <c r="Q38" i="50"/>
  <c r="Q25" i="50"/>
  <c r="B22" i="50"/>
  <c r="Q12" i="50"/>
  <c r="Q28" i="50"/>
  <c r="O17" i="50"/>
  <c r="B17" i="50"/>
  <c r="Q9" i="50"/>
  <c r="Q30" i="50"/>
  <c r="Q17" i="50"/>
  <c r="D33" i="50"/>
  <c r="B14" i="50"/>
  <c r="Q36" i="50"/>
  <c r="O25" i="50"/>
  <c r="B20" i="50"/>
  <c r="Q22" i="49"/>
  <c r="Q17" i="49"/>
  <c r="D33" i="49"/>
  <c r="B14" i="49"/>
  <c r="O37" i="49"/>
  <c r="B36" i="49"/>
  <c r="B25" i="49"/>
  <c r="Q37" i="49"/>
  <c r="B38" i="49"/>
  <c r="D25" i="49"/>
  <c r="O33" i="49"/>
  <c r="B28" i="49"/>
  <c r="B17" i="49"/>
  <c r="Q14" i="49"/>
  <c r="O9" i="49"/>
  <c r="Q9" i="49"/>
  <c r="Q20" i="48"/>
  <c r="O17" i="48"/>
  <c r="B33" i="48"/>
  <c r="D9" i="48"/>
  <c r="B12" i="48"/>
  <c r="Q22" i="48"/>
  <c r="Q17" i="48"/>
  <c r="D33" i="48"/>
  <c r="B14" i="48"/>
  <c r="O37" i="48"/>
  <c r="B28" i="48"/>
  <c r="B25" i="48"/>
  <c r="Q30" i="48"/>
  <c r="Q25" i="48"/>
  <c r="D37" i="48"/>
  <c r="O37" i="47"/>
  <c r="O17" i="47"/>
  <c r="B33" i="47"/>
  <c r="Q14" i="47"/>
  <c r="B9" i="47"/>
  <c r="Q37" i="47"/>
  <c r="Q17" i="47"/>
  <c r="D33" i="47"/>
  <c r="B12" i="47"/>
  <c r="B14" i="47"/>
  <c r="O33" i="47"/>
  <c r="B28" i="47"/>
  <c r="B25" i="47"/>
  <c r="Q33" i="47"/>
  <c r="B30" i="47"/>
  <c r="D25" i="47"/>
  <c r="Q30" i="46"/>
  <c r="Q25" i="46"/>
  <c r="D33" i="46"/>
  <c r="B28" i="46"/>
  <c r="O21" i="46"/>
  <c r="B25" i="46"/>
  <c r="Q12" i="46"/>
  <c r="B10" i="15"/>
  <c r="Q38" i="15"/>
  <c r="Q22" i="15"/>
  <c r="B26" i="15"/>
  <c r="B34" i="15"/>
  <c r="Q36" i="15"/>
  <c r="Q20" i="15"/>
  <c r="B18" i="15"/>
  <c r="Q34" i="15"/>
  <c r="Q18" i="15"/>
  <c r="B16" i="15"/>
  <c r="B14" i="15"/>
  <c r="B28" i="15"/>
  <c r="B36" i="15"/>
  <c r="Q32" i="15"/>
  <c r="Q16" i="15"/>
  <c r="B15" i="31"/>
  <c r="B13" i="31"/>
  <c r="B23" i="32"/>
  <c r="B15" i="32"/>
  <c r="B10" i="32"/>
  <c r="B15" i="33"/>
  <c r="B17" i="33"/>
  <c r="B21" i="33"/>
  <c r="B19" i="33"/>
  <c r="B9" i="34"/>
  <c r="B23" i="34"/>
  <c r="B17" i="34"/>
  <c r="B21" i="34"/>
  <c r="B21" i="35"/>
  <c r="B37" i="35"/>
  <c r="D17" i="35"/>
  <c r="D33" i="35"/>
  <c r="B17" i="35"/>
  <c r="B33" i="35"/>
  <c r="D21" i="35"/>
  <c r="D37" i="35"/>
  <c r="D21" i="36"/>
  <c r="D37" i="36"/>
  <c r="B21" i="36"/>
  <c r="B37" i="36"/>
  <c r="D17" i="36"/>
  <c r="D33" i="36"/>
  <c r="B17" i="36"/>
  <c r="B33" i="36"/>
  <c r="D17" i="37"/>
  <c r="B20" i="37"/>
  <c r="B33" i="37"/>
  <c r="B30" i="37"/>
  <c r="D25" i="37"/>
  <c r="B28" i="37"/>
  <c r="B25" i="37"/>
  <c r="B22" i="37"/>
  <c r="B25" i="38"/>
  <c r="B30" i="38"/>
  <c r="D17" i="38"/>
  <c r="B28" i="38"/>
  <c r="B33" i="38"/>
  <c r="B38" i="38"/>
  <c r="D25" i="38"/>
  <c r="B36" i="38"/>
  <c r="D33" i="39"/>
  <c r="B36" i="39"/>
  <c r="B33" i="39"/>
  <c r="B30" i="39"/>
  <c r="D25" i="39"/>
  <c r="B28" i="39"/>
  <c r="B14" i="39"/>
  <c r="B38" i="39"/>
  <c r="B18" i="40"/>
  <c r="B38" i="40"/>
  <c r="B16" i="40"/>
  <c r="B36" i="40"/>
  <c r="B14" i="40"/>
  <c r="B34" i="40"/>
  <c r="D25" i="40"/>
  <c r="B32" i="40"/>
  <c r="B22" i="41"/>
  <c r="B38" i="41"/>
  <c r="B20" i="41"/>
  <c r="B36" i="41"/>
  <c r="B18" i="41"/>
  <c r="B34" i="41"/>
  <c r="B16" i="41"/>
  <c r="B32" i="41"/>
  <c r="B19" i="42"/>
  <c r="B35" i="42"/>
  <c r="B17" i="42"/>
  <c r="B33" i="42"/>
  <c r="B23" i="42"/>
  <c r="B39" i="42"/>
  <c r="B21" i="42"/>
  <c r="B37" i="42"/>
  <c r="B33" i="43"/>
  <c r="D9" i="43"/>
  <c r="D29" i="43"/>
  <c r="B14" i="43"/>
  <c r="Q25" i="43"/>
  <c r="B25" i="43"/>
  <c r="O21" i="43"/>
  <c r="O37" i="43"/>
  <c r="B21" i="43"/>
  <c r="B37" i="43"/>
  <c r="O17" i="43"/>
  <c r="O33" i="43"/>
  <c r="D25" i="43"/>
  <c r="O9" i="43"/>
  <c r="Q21" i="43"/>
  <c r="Q37" i="43"/>
  <c r="B25" i="44"/>
  <c r="B12" i="44"/>
  <c r="Q25" i="44"/>
  <c r="Q12" i="44"/>
  <c r="O17" i="44"/>
  <c r="D29" i="44"/>
  <c r="O25" i="44"/>
  <c r="O9" i="44"/>
  <c r="B29" i="44"/>
  <c r="Q9" i="44"/>
  <c r="Q29" i="44"/>
  <c r="B9" i="44"/>
  <c r="D25" i="44"/>
  <c r="B14" i="44"/>
  <c r="O29" i="44"/>
  <c r="Q14" i="44"/>
  <c r="D21" i="45"/>
  <c r="B30" i="45"/>
  <c r="Q29" i="45"/>
  <c r="D9" i="45"/>
  <c r="B21" i="45"/>
  <c r="B28" i="45"/>
  <c r="O29" i="45"/>
  <c r="B9" i="45"/>
  <c r="Q14" i="45"/>
  <c r="D25" i="45"/>
  <c r="Q17" i="45"/>
  <c r="Q33" i="45"/>
  <c r="B14" i="45"/>
  <c r="B25" i="45"/>
  <c r="O17" i="45"/>
  <c r="O33" i="45"/>
  <c r="D9" i="46"/>
  <c r="B21" i="46"/>
  <c r="O17" i="46"/>
  <c r="O37" i="46"/>
  <c r="D17" i="46"/>
  <c r="D37" i="46"/>
  <c r="Q33" i="46"/>
  <c r="B9" i="46"/>
  <c r="B14" i="46"/>
  <c r="B17" i="46"/>
  <c r="O33" i="46"/>
  <c r="Q17" i="46"/>
  <c r="O9" i="47"/>
  <c r="Q21" i="47"/>
  <c r="B37" i="47"/>
  <c r="Q28" i="47"/>
  <c r="D17" i="47"/>
  <c r="Q25" i="47"/>
  <c r="Q9" i="47"/>
  <c r="B20" i="47"/>
  <c r="D25" i="48"/>
  <c r="Q37" i="48"/>
  <c r="B37" i="48"/>
  <c r="Q28" i="48"/>
  <c r="B22" i="48"/>
  <c r="Q9" i="48"/>
  <c r="Q14" i="48"/>
  <c r="B20" i="48"/>
  <c r="B9" i="49"/>
  <c r="B12" i="49"/>
  <c r="B33" i="49"/>
  <c r="Q20" i="49"/>
  <c r="Q25" i="49"/>
  <c r="B20" i="49"/>
  <c r="Q28" i="49"/>
  <c r="B30" i="49"/>
  <c r="B25" i="50"/>
  <c r="Q20" i="50"/>
  <c r="D17" i="50"/>
  <c r="Q33" i="50"/>
  <c r="B28" i="50"/>
  <c r="O33" i="50"/>
  <c r="D25" i="50"/>
  <c r="Q22" i="50"/>
  <c r="B9" i="51"/>
  <c r="B22" i="51"/>
  <c r="Q17" i="51"/>
  <c r="B20" i="51"/>
  <c r="O17" i="51"/>
  <c r="B14" i="51"/>
  <c r="Q22" i="51"/>
  <c r="B28" i="51"/>
  <c r="Q12" i="52"/>
  <c r="D25" i="52"/>
  <c r="Q30" i="52"/>
  <c r="B25" i="52"/>
  <c r="Q28" i="52"/>
  <c r="B38" i="52"/>
  <c r="B22" i="52"/>
  <c r="Q20" i="52"/>
  <c r="B16" i="53"/>
  <c r="Q20" i="53"/>
  <c r="B14" i="53"/>
  <c r="Q25" i="53"/>
  <c r="B20" i="53"/>
  <c r="Q28" i="53"/>
  <c r="B38" i="53"/>
  <c r="B9" i="53"/>
  <c r="D33" i="54"/>
  <c r="Q26" i="54"/>
  <c r="B28" i="54"/>
  <c r="Q12" i="54"/>
  <c r="B14" i="54"/>
  <c r="O9" i="54"/>
  <c r="O33" i="54"/>
  <c r="B9" i="55"/>
  <c r="B36" i="55"/>
  <c r="B26" i="55"/>
  <c r="B32" i="55"/>
  <c r="Q14" i="56"/>
  <c r="D9" i="56"/>
  <c r="Q36" i="56"/>
  <c r="B9" i="56"/>
  <c r="Q38" i="57"/>
  <c r="Q36" i="57"/>
  <c r="Q34" i="57"/>
  <c r="Q32" i="57"/>
  <c r="B17" i="61"/>
  <c r="B10" i="62"/>
  <c r="B15" i="62"/>
  <c r="B20" i="62"/>
  <c r="B25" i="62"/>
  <c r="B30" i="62"/>
  <c r="B35" i="62"/>
  <c r="B40" i="62"/>
  <c r="B45" i="62"/>
  <c r="B50" i="62"/>
  <c r="B55" i="62"/>
  <c r="B60" i="62"/>
  <c r="B65" i="62"/>
  <c r="B70" i="62"/>
  <c r="B75" i="62"/>
  <c r="B80" i="62"/>
  <c r="B85" i="62"/>
  <c r="V10" i="62"/>
  <c r="V15" i="62"/>
  <c r="V20" i="62"/>
  <c r="V25" i="62"/>
  <c r="V30" i="62"/>
  <c r="V35" i="62"/>
  <c r="V40" i="62"/>
  <c r="V45" i="62"/>
  <c r="V50" i="62"/>
  <c r="V55" i="62"/>
  <c r="V60" i="62"/>
  <c r="V65" i="62"/>
  <c r="V70" i="62"/>
  <c r="V75" i="62"/>
  <c r="V80" i="62"/>
  <c r="V85" i="62"/>
  <c r="B8" i="62"/>
  <c r="B13" i="62"/>
  <c r="B18" i="62"/>
  <c r="B23" i="62"/>
  <c r="B28" i="62"/>
  <c r="B33" i="62"/>
  <c r="B38" i="62"/>
  <c r="B43" i="62"/>
  <c r="B48" i="62"/>
  <c r="B53" i="62"/>
  <c r="B58" i="62"/>
  <c r="B63" i="62"/>
  <c r="B68" i="62"/>
  <c r="B73" i="62"/>
  <c r="B78" i="62"/>
  <c r="B83" i="62"/>
  <c r="V8" i="62"/>
  <c r="V13" i="62"/>
  <c r="V18" i="62"/>
  <c r="V23" i="62"/>
  <c r="V28" i="62"/>
  <c r="V33" i="62"/>
  <c r="V38" i="62"/>
  <c r="V43" i="62"/>
  <c r="V48" i="62"/>
  <c r="V53" i="62"/>
  <c r="V58" i="62"/>
  <c r="V63" i="62"/>
  <c r="V68" i="62"/>
  <c r="V73" i="62"/>
  <c r="V78" i="62"/>
  <c r="U44" i="62" l="1"/>
  <c r="T44" i="62" s="1"/>
  <c r="D49" i="62"/>
  <c r="E49" i="62" s="1"/>
  <c r="U84" i="62"/>
  <c r="T84" i="62" s="1"/>
  <c r="D9" i="62"/>
  <c r="E9" i="62" s="1"/>
  <c r="U79" i="62"/>
  <c r="T79" i="62" s="1"/>
  <c r="U39" i="62"/>
  <c r="T39" i="62" s="1"/>
  <c r="D14" i="62"/>
  <c r="E14" i="62" s="1"/>
  <c r="D54" i="62"/>
  <c r="E54" i="62" s="1"/>
  <c r="U64" i="62"/>
  <c r="T64" i="62" s="1"/>
  <c r="U24" i="62"/>
  <c r="T24" i="62" s="1"/>
  <c r="D29" i="62"/>
  <c r="E29" i="62" s="1"/>
  <c r="D69" i="62"/>
  <c r="E69" i="62" s="1"/>
  <c r="U59" i="62"/>
  <c r="T59" i="62" s="1"/>
  <c r="U19" i="62"/>
  <c r="T19" i="62" s="1"/>
  <c r="D34" i="62"/>
  <c r="E34" i="62" s="1"/>
  <c r="D74" i="62"/>
  <c r="E74" i="62" s="1"/>
  <c r="U74" i="62"/>
  <c r="T74" i="62" s="1"/>
  <c r="U54" i="62"/>
  <c r="T54" i="62" s="1"/>
  <c r="U34" i="62"/>
  <c r="T34" i="62" s="1"/>
  <c r="U14" i="62"/>
  <c r="T14" i="62" s="1"/>
  <c r="D19" i="62"/>
  <c r="E19" i="62" s="1"/>
  <c r="D39" i="62"/>
  <c r="E39" i="62" s="1"/>
  <c r="D59" i="62"/>
  <c r="E59" i="62" s="1"/>
  <c r="D79" i="62"/>
  <c r="E79" i="62" s="1"/>
  <c r="U69" i="62"/>
  <c r="T69" i="62" s="1"/>
  <c r="U49" i="62"/>
  <c r="T49" i="62" s="1"/>
  <c r="U29" i="62"/>
  <c r="T29" i="62" s="1"/>
  <c r="U9" i="62"/>
  <c r="T9" i="62" s="1"/>
  <c r="D24" i="62"/>
  <c r="E24" i="62" s="1"/>
  <c r="D44" i="62"/>
  <c r="E44" i="62" s="1"/>
  <c r="D64" i="62"/>
  <c r="E64" i="62" s="1"/>
  <c r="E84" i="62"/>
  <c r="I23" i="43"/>
</calcChain>
</file>

<file path=xl/sharedStrings.xml><?xml version="1.0" encoding="utf-8"?>
<sst xmlns="http://schemas.openxmlformats.org/spreadsheetml/2006/main" count="408" uniqueCount="90">
  <si>
    <t>1-е место</t>
  </si>
  <si>
    <t>Место</t>
  </si>
  <si>
    <t>№</t>
  </si>
  <si>
    <t>пол</t>
  </si>
  <si>
    <t>Фамилия</t>
  </si>
  <si>
    <t>Имя</t>
  </si>
  <si>
    <t>Отчество</t>
  </si>
  <si>
    <t>вид программы</t>
  </si>
  <si>
    <t>№ жреб.</t>
  </si>
  <si>
    <t>место проведения соревнований</t>
  </si>
  <si>
    <t>Дата проведения соревнований</t>
  </si>
  <si>
    <t>Тренер</t>
  </si>
  <si>
    <t xml:space="preserve">П Р О Т О К О Л      Р Е Г И С Т Р А Ц И И </t>
  </si>
  <si>
    <t>поединок за 3-е место</t>
  </si>
  <si>
    <t>Главный судья:</t>
  </si>
  <si>
    <t>Главный секретарь:</t>
  </si>
  <si>
    <t>Результаты</t>
  </si>
  <si>
    <t>Фамилия Имя Отчество (Регион)</t>
  </si>
  <si>
    <t>П Р О Т О К О Л   Х О Д А   С О Р Е В Н О В А Н И Й</t>
  </si>
  <si>
    <t>Занятое 
место</t>
  </si>
  <si>
    <t>Дата
рождения</t>
  </si>
  <si>
    <t>Разряд,
звание</t>
  </si>
  <si>
    <t>Точный
вес</t>
  </si>
  <si>
    <t>Вид
программы</t>
  </si>
  <si>
    <t>Полных
лет</t>
  </si>
  <si>
    <t>Поединок за 3-е место</t>
  </si>
  <si>
    <t>Главный судья</t>
  </si>
  <si>
    <t>Главный секретарь</t>
  </si>
  <si>
    <t>место</t>
  </si>
  <si>
    <t>П Р О Т О К О Л    Х О Д А    С О Р Е В Н О В А Н И Й</t>
  </si>
  <si>
    <t>1-й круг</t>
  </si>
  <si>
    <t>2-й круг</t>
  </si>
  <si>
    <t>итог</t>
  </si>
  <si>
    <t>оценки</t>
  </si>
  <si>
    <t>Главный секретерь:</t>
  </si>
  <si>
    <t>Финалист 1</t>
  </si>
  <si>
    <t>Финалист 2</t>
  </si>
  <si>
    <t>3 место</t>
  </si>
  <si>
    <t>1 место</t>
  </si>
  <si>
    <t>всего:</t>
  </si>
  <si>
    <t>чел.</t>
  </si>
  <si>
    <t>ката</t>
  </si>
  <si>
    <t>Фамилия  Имя  (регион)</t>
  </si>
  <si>
    <t>Финал</t>
  </si>
  <si>
    <t>коэф</t>
  </si>
  <si>
    <t>-</t>
  </si>
  <si>
    <t>финал</t>
  </si>
  <si>
    <t>Команда</t>
  </si>
  <si>
    <t>Фамилия Имя Отчество (Команда)</t>
  </si>
  <si>
    <t xml:space="preserve"> </t>
  </si>
  <si>
    <t>г. Санкт-Петербург</t>
  </si>
  <si>
    <t>М 18+ ОК-двоеборье</t>
  </si>
  <si>
    <t>Цыльев В.А. С1К</t>
  </si>
  <si>
    <t>Регион</t>
  </si>
  <si>
    <t>27 сентября 2025</t>
  </si>
  <si>
    <t>Орлова Е.С 3 К</t>
  </si>
  <si>
    <t>ОК-АБС</t>
  </si>
  <si>
    <t>Сергеевна</t>
  </si>
  <si>
    <t>Орлова Е.С.</t>
  </si>
  <si>
    <t>2 спорт.</t>
  </si>
  <si>
    <t>КМС</t>
  </si>
  <si>
    <t>б/р</t>
  </si>
  <si>
    <t>Политех</t>
  </si>
  <si>
    <t xml:space="preserve">Санкт-Петербург </t>
  </si>
  <si>
    <t>ж</t>
  </si>
  <si>
    <t xml:space="preserve"> Межмуниципальные соревнования по всестилевому каратэ "Первый старт" 27 сентября 2025 г.</t>
  </si>
  <si>
    <t>Вид спорта: ВСЕСТИЛЕВОЕ КАРАТЭ (номер-код вида спорта - 0900001411Я)</t>
  </si>
  <si>
    <t>Шайдулина</t>
  </si>
  <si>
    <t>Алина</t>
  </si>
  <si>
    <t>Викторовна</t>
  </si>
  <si>
    <t>Сугралиева</t>
  </si>
  <si>
    <t>Арина</t>
  </si>
  <si>
    <t>Маратовна</t>
  </si>
  <si>
    <t>Носкова</t>
  </si>
  <si>
    <t>Александра</t>
  </si>
  <si>
    <t>Паранина</t>
  </si>
  <si>
    <t>Полина</t>
  </si>
  <si>
    <t>Николаевна</t>
  </si>
  <si>
    <t>Хохлова</t>
  </si>
  <si>
    <t>Элина</t>
  </si>
  <si>
    <t>Александровна</t>
  </si>
  <si>
    <t>WSKF</t>
  </si>
  <si>
    <t>Пименов .Г</t>
  </si>
  <si>
    <t>Павлова</t>
  </si>
  <si>
    <t>Мария</t>
  </si>
  <si>
    <t>Олеговна</t>
  </si>
  <si>
    <t>1 спорт</t>
  </si>
  <si>
    <t>5-6</t>
  </si>
  <si>
    <t>Женщины 18 +  ОК-двоеборье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</si>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</sst>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&quot;р.&quot;;[Red]\-#,##0&quot;р.&quot;"/>
    <numFmt numFmtId="165" formatCode="0.0"/>
    <numFmt numFmtId="166" formatCode="[$-419]dd/mm/yyyy"/>
    <numFmt numFmtId="167" formatCode="0.000"/>
    <numFmt numFmtId="168" formatCode="dd\.mm\.yyyy"/>
  </numFmts>
  <fonts count="55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Arial Cyr"/>
      <charset val="204"/>
    </font>
    <font>
      <b/>
      <u/>
      <sz val="11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Arial Narrow"/>
      <family val="2"/>
      <charset val="204"/>
    </font>
    <font>
      <sz val="8"/>
      <name val="Arial Narrow"/>
      <family val="2"/>
      <charset val="204"/>
    </font>
    <font>
      <b/>
      <sz val="8"/>
      <name val="Arial Narrow"/>
      <family val="2"/>
      <charset val="204"/>
    </font>
    <font>
      <sz val="14"/>
      <name val="Arial Cyr"/>
      <charset val="204"/>
    </font>
    <font>
      <b/>
      <sz val="8"/>
      <color theme="1"/>
      <name val="Arial Narrow"/>
      <family val="2"/>
      <charset val="204"/>
    </font>
    <font>
      <b/>
      <sz val="10"/>
      <name val="Times New Roman"/>
      <family val="1"/>
      <charset val="204"/>
    </font>
    <font>
      <sz val="5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7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1"/>
      <name val="Times New Roman"/>
      <family val="1"/>
      <charset val="204"/>
    </font>
    <font>
      <b/>
      <u/>
      <sz val="9"/>
      <color rgb="FF000000"/>
      <name val="Times New Roman"/>
      <family val="1"/>
      <charset val="204"/>
    </font>
    <font>
      <sz val="8"/>
      <color rgb="FF000000"/>
      <name val="Arial Narrow"/>
      <family val="2"/>
      <charset val="204"/>
    </font>
    <font>
      <sz val="9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5"/>
      <color rgb="FF000000"/>
      <name val="Arial Narrow"/>
      <family val="2"/>
      <charset val="204"/>
    </font>
    <font>
      <sz val="8"/>
      <color rgb="FF000000"/>
      <name val="Times New Roman"/>
      <family val="1"/>
      <charset val="204"/>
    </font>
    <font>
      <b/>
      <sz val="8"/>
      <color rgb="FF000000"/>
      <name val="Arial Narrow"/>
      <family val="2"/>
      <charset val="204"/>
    </font>
    <font>
      <sz val="8"/>
      <color rgb="FF000000"/>
      <name val="Arial Cyr"/>
      <charset val="1"/>
    </font>
    <font>
      <sz val="7"/>
      <color rgb="FF000000"/>
      <name val="Arial Narrow"/>
      <family val="2"/>
      <charset val="204"/>
    </font>
    <font>
      <sz val="9"/>
      <color rgb="FF000000"/>
      <name val="Arial Narrow"/>
      <family val="2"/>
      <charset val="204"/>
    </font>
    <font>
      <sz val="9"/>
      <color rgb="FF000000"/>
      <name val="Arial Narrow"/>
      <family val="2"/>
      <charset val="1"/>
    </font>
    <font>
      <b/>
      <u/>
      <sz val="11"/>
      <name val="Arial Narrow"/>
      <family val="2"/>
      <charset val="204"/>
    </font>
    <font>
      <sz val="11"/>
      <name val="Arial Narrow"/>
      <family val="2"/>
      <charset val="204"/>
    </font>
    <font>
      <b/>
      <sz val="9"/>
      <name val="Arial Narrow"/>
      <family val="2"/>
      <charset val="204"/>
    </font>
    <font>
      <b/>
      <sz val="10"/>
      <name val="Arial Narrow"/>
      <family val="2"/>
      <charset val="204"/>
    </font>
    <font>
      <sz val="9"/>
      <name val="Arial Narrow"/>
      <family val="2"/>
      <charset val="204"/>
    </font>
    <font>
      <sz val="12"/>
      <name val="Arial Narrow"/>
      <family val="2"/>
      <charset val="204"/>
    </font>
    <font>
      <sz val="7"/>
      <name val="Arial Narrow"/>
      <family val="2"/>
      <charset val="204"/>
    </font>
    <font>
      <sz val="5"/>
      <name val="Arial Narrow"/>
      <family val="2"/>
      <charset val="204"/>
    </font>
    <font>
      <sz val="6"/>
      <name val="Arial Narrow"/>
      <family val="2"/>
      <charset val="204"/>
    </font>
    <font>
      <b/>
      <sz val="7"/>
      <color rgb="FF000000"/>
      <name val="Arial Narrow"/>
      <family val="2"/>
      <charset val="204"/>
    </font>
    <font>
      <b/>
      <sz val="9"/>
      <color rgb="FF000000"/>
      <name val="Arial Narrow"/>
      <family val="2"/>
      <charset val="204"/>
    </font>
    <font>
      <sz val="6"/>
      <color rgb="FF000000"/>
      <name val="Arial Narrow"/>
      <family val="2"/>
      <charset val="204"/>
    </font>
    <font>
      <sz val="8"/>
      <color rgb="FFFFFFFF"/>
      <name val="Arial Narrow"/>
      <family val="2"/>
      <charset val="204"/>
    </font>
    <font>
      <b/>
      <sz val="9"/>
      <color rgb="FF000000"/>
      <name val="Times New Roman"/>
      <family val="1"/>
      <charset val="204"/>
    </font>
    <font>
      <b/>
      <sz val="10"/>
      <color rgb="FF000000"/>
      <name val="Arial Narrow"/>
      <family val="2"/>
      <charset val="204"/>
    </font>
    <font>
      <b/>
      <sz val="11"/>
      <name val="Arial Narrow"/>
      <family val="2"/>
      <charset val="204"/>
    </font>
    <font>
      <sz val="4"/>
      <name val="Arial Narrow"/>
      <family val="2"/>
      <charset val="204"/>
    </font>
    <font>
      <b/>
      <sz val="8"/>
      <name val="Arial"/>
      <family val="2"/>
      <charset val="204"/>
    </font>
    <font>
      <sz val="7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4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tted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tted">
        <color indexed="64"/>
      </right>
      <top style="hair">
        <color auto="1"/>
      </top>
      <bottom style="hair">
        <color auto="1"/>
      </bottom>
      <diagonal/>
    </border>
    <border>
      <left style="dotted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tted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dotted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dotted">
        <color indexed="64"/>
      </right>
      <top style="hair">
        <color auto="1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double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 diagonalDown="1">
      <left/>
      <right/>
      <top/>
      <bottom/>
      <diagonal style="thin">
        <color auto="1"/>
      </diagonal>
    </border>
    <border diagonalDown="1">
      <left/>
      <right style="thin">
        <color indexed="64"/>
      </right>
      <top/>
      <bottom/>
      <diagonal style="thin">
        <color auto="1"/>
      </diagonal>
    </border>
    <border diagonalUp="1">
      <left/>
      <right/>
      <top/>
      <bottom/>
      <diagonal style="thin">
        <color auto="1"/>
      </diagonal>
    </border>
    <border diagonalUp="1">
      <left/>
      <right style="thin">
        <color indexed="64"/>
      </right>
      <top/>
      <bottom/>
      <diagonal style="thin">
        <color auto="1"/>
      </diagonal>
    </border>
    <border diagonalDown="1">
      <left style="thin">
        <color indexed="64"/>
      </left>
      <right/>
      <top/>
      <bottom/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4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7" fillId="0" borderId="0" xfId="0" applyFont="1"/>
    <xf numFmtId="0" fontId="0" fillId="0" borderId="0" xfId="0" applyAlignment="1" applyProtection="1">
      <alignment horizontal="center"/>
      <protection locked="0"/>
    </xf>
    <xf numFmtId="0" fontId="9" fillId="0" borderId="0" xfId="0" applyFont="1" applyAlignment="1">
      <alignment horizontal="center" vertical="top"/>
    </xf>
    <xf numFmtId="0" fontId="10" fillId="0" borderId="0" xfId="0" applyFont="1" applyAlignment="1" applyProtection="1">
      <alignment horizontal="center" vertical="top"/>
      <protection locked="0"/>
    </xf>
    <xf numFmtId="0" fontId="9" fillId="0" borderId="0" xfId="0" applyFont="1" applyAlignment="1" applyProtection="1">
      <alignment horizontal="center" vertical="top" wrapText="1"/>
      <protection locked="0"/>
    </xf>
    <xf numFmtId="14" fontId="9" fillId="0" borderId="0" xfId="0" applyNumberFormat="1" applyFont="1" applyAlignment="1" applyProtection="1">
      <alignment horizontal="center" vertical="top" wrapText="1"/>
      <protection locked="0"/>
    </xf>
    <xf numFmtId="49" fontId="9" fillId="0" borderId="0" xfId="0" applyNumberFormat="1" applyFont="1" applyAlignment="1" applyProtection="1">
      <alignment horizontal="center" vertical="top" wrapText="1"/>
      <protection locked="0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left" vertical="top" wrapText="1"/>
    </xf>
    <xf numFmtId="0" fontId="2" fillId="0" borderId="0" xfId="0" applyFont="1" applyProtection="1">
      <protection locked="0"/>
    </xf>
    <xf numFmtId="0" fontId="7" fillId="0" borderId="0" xfId="0" applyFont="1" applyAlignment="1" applyProtection="1">
      <alignment horizontal="right"/>
      <protection locked="0"/>
    </xf>
    <xf numFmtId="0" fontId="7" fillId="0" borderId="0" xfId="0" applyFo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11" fillId="0" borderId="0" xfId="0" applyFont="1" applyProtection="1">
      <protection locked="0"/>
    </xf>
    <xf numFmtId="0" fontId="20" fillId="0" borderId="0" xfId="0" applyFont="1" applyAlignment="1" applyProtection="1">
      <alignment vertical="top" wrapText="1"/>
      <protection hidden="1"/>
    </xf>
    <xf numFmtId="0" fontId="21" fillId="0" borderId="0" xfId="0" applyFont="1" applyProtection="1">
      <protection hidden="1"/>
    </xf>
    <xf numFmtId="0" fontId="0" fillId="0" borderId="0" xfId="0" applyProtection="1">
      <protection hidden="1"/>
    </xf>
    <xf numFmtId="0" fontId="22" fillId="0" borderId="0" xfId="0" applyFont="1" applyAlignment="1" applyProtection="1">
      <alignment vertical="top" wrapText="1"/>
      <protection hidden="1"/>
    </xf>
    <xf numFmtId="14" fontId="22" fillId="0" borderId="0" xfId="0" applyNumberFormat="1" applyFont="1" applyAlignment="1" applyProtection="1">
      <alignment vertical="top" wrapText="1"/>
      <protection hidden="1"/>
    </xf>
    <xf numFmtId="0" fontId="21" fillId="0" borderId="0" xfId="0" applyFont="1" applyAlignment="1" applyProtection="1">
      <alignment wrapText="1"/>
      <protection hidden="1"/>
    </xf>
    <xf numFmtId="0" fontId="25" fillId="0" borderId="0" xfId="0" applyFont="1" applyAlignment="1" applyProtection="1">
      <alignment horizontal="center" wrapText="1"/>
      <protection hidden="1"/>
    </xf>
    <xf numFmtId="0" fontId="27" fillId="0" borderId="0" xfId="0" applyFont="1" applyProtection="1">
      <protection hidden="1"/>
    </xf>
    <xf numFmtId="0" fontId="21" fillId="0" borderId="0" xfId="0" applyFont="1" applyAlignment="1" applyProtection="1">
      <alignment horizontal="right" vertical="center" shrinkToFit="1"/>
      <protection hidden="1"/>
    </xf>
    <xf numFmtId="0" fontId="24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wrapText="1"/>
      <protection hidden="1"/>
    </xf>
    <xf numFmtId="0" fontId="28" fillId="0" borderId="0" xfId="0" applyFont="1" applyAlignment="1" applyProtection="1">
      <alignment horizontal="right" vertical="center" shrinkToFit="1"/>
      <protection hidden="1"/>
    </xf>
    <xf numFmtId="0" fontId="21" fillId="0" borderId="0" xfId="0" applyFont="1" applyAlignment="1" applyProtection="1">
      <alignment vertical="top" wrapText="1"/>
      <protection hidden="1"/>
    </xf>
    <xf numFmtId="0" fontId="22" fillId="0" borderId="0" xfId="0" applyFont="1" applyProtection="1">
      <protection hidden="1"/>
    </xf>
    <xf numFmtId="14" fontId="7" fillId="0" borderId="0" xfId="0" applyNumberFormat="1" applyFont="1" applyAlignment="1" applyProtection="1">
      <alignment horizontal="right" wrapText="1"/>
      <protection hidden="1"/>
    </xf>
    <xf numFmtId="14" fontId="7" fillId="0" borderId="0" xfId="0" applyNumberFormat="1" applyFont="1" applyAlignment="1" applyProtection="1">
      <alignment horizontal="left" wrapText="1"/>
      <protection hidden="1"/>
    </xf>
    <xf numFmtId="0" fontId="3" fillId="0" borderId="2" xfId="0" applyFont="1" applyBorder="1" applyAlignment="1" applyProtection="1">
      <alignment horizontal="right" vertical="center" shrinkToFit="1"/>
      <protection hidden="1"/>
    </xf>
    <xf numFmtId="0" fontId="18" fillId="0" borderId="2" xfId="0" applyFont="1" applyBorder="1" applyAlignment="1" applyProtection="1">
      <alignment horizontal="right" vertical="center" shrinkToFit="1"/>
      <protection hidden="1"/>
    </xf>
    <xf numFmtId="0" fontId="16" fillId="0" borderId="2" xfId="0" applyFont="1" applyBorder="1" applyAlignment="1" applyProtection="1">
      <alignment horizontal="center" vertical="center" shrinkToFit="1"/>
      <protection hidden="1"/>
    </xf>
    <xf numFmtId="0" fontId="30" fillId="0" borderId="13" xfId="0" applyFont="1" applyBorder="1" applyAlignment="1" applyProtection="1">
      <alignment horizontal="center" vertical="center" shrinkToFit="1"/>
      <protection locked="0" hidden="1"/>
    </xf>
    <xf numFmtId="0" fontId="0" fillId="0" borderId="0" xfId="0" applyProtection="1">
      <protection locked="0" hidden="1"/>
    </xf>
    <xf numFmtId="0" fontId="29" fillId="0" borderId="13" xfId="0" applyFont="1" applyBorder="1" applyAlignment="1" applyProtection="1">
      <alignment horizontal="center" vertical="center" shrinkToFit="1"/>
      <protection locked="0" hidden="1"/>
    </xf>
    <xf numFmtId="0" fontId="29" fillId="0" borderId="15" xfId="0" applyFont="1" applyBorder="1" applyAlignment="1" applyProtection="1">
      <alignment horizontal="center" vertical="center" shrinkToFit="1"/>
      <protection locked="0" hidden="1"/>
    </xf>
    <xf numFmtId="0" fontId="2" fillId="0" borderId="0" xfId="0" applyFont="1" applyAlignment="1" applyProtection="1">
      <alignment wrapText="1"/>
      <protection locked="0" hidden="1"/>
    </xf>
    <xf numFmtId="0" fontId="2" fillId="0" borderId="0" xfId="0" applyFont="1" applyAlignment="1" applyProtection="1">
      <alignment horizontal="center" vertical="center" wrapText="1"/>
      <protection locked="0" hidden="1"/>
    </xf>
    <xf numFmtId="0" fontId="4" fillId="0" borderId="0" xfId="0" applyFont="1" applyAlignment="1" applyProtection="1">
      <alignment vertical="top" wrapText="1"/>
      <protection locked="0" hidden="1"/>
    </xf>
    <xf numFmtId="0" fontId="4" fillId="0" borderId="0" xfId="0" applyFont="1" applyAlignment="1" applyProtection="1">
      <alignment horizontal="center" vertical="top" wrapText="1"/>
      <protection locked="0" hidden="1"/>
    </xf>
    <xf numFmtId="0" fontId="14" fillId="0" borderId="2" xfId="0" applyFont="1" applyBorder="1" applyAlignment="1" applyProtection="1">
      <alignment horizontal="center" vertical="center" wrapText="1"/>
      <protection locked="0" hidden="1"/>
    </xf>
    <xf numFmtId="0" fontId="14" fillId="0" borderId="0" xfId="0" applyFont="1" applyAlignment="1" applyProtection="1">
      <alignment horizontal="center" vertical="center" wrapText="1"/>
      <protection locked="0" hidden="1"/>
    </xf>
    <xf numFmtId="0" fontId="14" fillId="0" borderId="7" xfId="0" applyFont="1" applyBorder="1" applyAlignment="1" applyProtection="1">
      <alignment horizontal="center" vertical="center" wrapText="1"/>
      <protection locked="0" hidden="1"/>
    </xf>
    <xf numFmtId="0" fontId="14" fillId="0" borderId="6" xfId="0" applyFont="1" applyBorder="1" applyAlignment="1" applyProtection="1">
      <alignment horizontal="center" vertical="center" wrapText="1"/>
      <protection locked="0" hidden="1"/>
    </xf>
    <xf numFmtId="0" fontId="4" fillId="0" borderId="0" xfId="0" applyFont="1" applyAlignment="1" applyProtection="1">
      <alignment wrapText="1"/>
      <protection locked="0" hidden="1"/>
    </xf>
    <xf numFmtId="0" fontId="16" fillId="0" borderId="0" xfId="0" applyFont="1" applyAlignment="1" applyProtection="1">
      <alignment horizontal="center" vertical="center" wrapText="1"/>
      <protection locked="0" hidden="1"/>
    </xf>
    <xf numFmtId="0" fontId="2" fillId="0" borderId="0" xfId="0" applyFont="1" applyProtection="1">
      <protection locked="0" hidden="1"/>
    </xf>
    <xf numFmtId="0" fontId="16" fillId="0" borderId="2" xfId="0" applyFont="1" applyBorder="1" applyAlignment="1" applyProtection="1">
      <alignment horizontal="center" vertical="center" wrapText="1"/>
      <protection locked="0" hidden="1"/>
    </xf>
    <xf numFmtId="0" fontId="7" fillId="0" borderId="3" xfId="0" applyFont="1" applyBorder="1" applyAlignment="1" applyProtection="1">
      <alignment horizontal="center" vertical="center" shrinkToFit="1"/>
      <protection locked="0" hidden="1"/>
    </xf>
    <xf numFmtId="0" fontId="16" fillId="0" borderId="7" xfId="0" applyFont="1" applyBorder="1" applyAlignment="1" applyProtection="1">
      <alignment horizontal="center" vertical="center" wrapText="1"/>
      <protection locked="0" hidden="1"/>
    </xf>
    <xf numFmtId="0" fontId="16" fillId="0" borderId="0" xfId="0" applyFont="1" applyAlignment="1" applyProtection="1">
      <alignment horizontal="center" vertical="center"/>
      <protection locked="0" hidden="1"/>
    </xf>
    <xf numFmtId="0" fontId="16" fillId="0" borderId="2" xfId="0" applyFont="1" applyBorder="1" applyAlignment="1" applyProtection="1">
      <alignment horizontal="center" vertical="center"/>
      <protection locked="0" hidden="1"/>
    </xf>
    <xf numFmtId="0" fontId="4" fillId="0" borderId="0" xfId="0" applyFont="1" applyAlignment="1" applyProtection="1">
      <alignment vertical="center" wrapText="1"/>
      <protection locked="0" hidden="1"/>
    </xf>
    <xf numFmtId="0" fontId="2" fillId="0" borderId="0" xfId="0" applyFont="1" applyAlignment="1" applyProtection="1">
      <alignment vertical="center" wrapText="1"/>
      <protection locked="0" hidden="1"/>
    </xf>
    <xf numFmtId="0" fontId="3" fillId="0" borderId="2" xfId="0" applyFont="1" applyBorder="1" applyAlignment="1" applyProtection="1">
      <alignment horizontal="center" vertical="center" wrapText="1"/>
      <protection locked="0" hidden="1"/>
    </xf>
    <xf numFmtId="0" fontId="3" fillId="0" borderId="7" xfId="0" applyFont="1" applyBorder="1" applyAlignment="1" applyProtection="1">
      <alignment horizontal="center" vertical="center" wrapText="1"/>
      <protection locked="0" hidden="1"/>
    </xf>
    <xf numFmtId="0" fontId="3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/>
      <protection locked="0" hidden="1"/>
    </xf>
    <xf numFmtId="0" fontId="3" fillId="0" borderId="2" xfId="0" applyFont="1" applyBorder="1" applyAlignment="1" applyProtection="1">
      <alignment vertical="top"/>
      <protection locked="0" hidden="1"/>
    </xf>
    <xf numFmtId="0" fontId="11" fillId="0" borderId="0" xfId="0" applyFont="1" applyAlignment="1" applyProtection="1">
      <alignment horizontal="center"/>
      <protection locked="0" hidden="1"/>
    </xf>
    <xf numFmtId="0" fontId="11" fillId="0" borderId="0" xfId="0" applyFont="1" applyProtection="1">
      <protection locked="0" hidden="1"/>
    </xf>
    <xf numFmtId="0" fontId="0" fillId="0" borderId="0" xfId="0" applyAlignment="1" applyProtection="1">
      <alignment horizontal="center"/>
      <protection locked="0" hidden="1"/>
    </xf>
    <xf numFmtId="14" fontId="2" fillId="0" borderId="1" xfId="0" applyNumberFormat="1" applyFont="1" applyBorder="1" applyAlignment="1" applyProtection="1">
      <alignment horizontal="center"/>
      <protection locked="0" hidden="1"/>
    </xf>
    <xf numFmtId="0" fontId="2" fillId="0" borderId="0" xfId="0" applyFont="1" applyAlignment="1" applyProtection="1">
      <alignment vertical="top"/>
      <protection locked="0" hidden="1"/>
    </xf>
    <xf numFmtId="0" fontId="2" fillId="0" borderId="0" xfId="0" applyFont="1" applyAlignment="1" applyProtection="1">
      <alignment horizontal="center" vertical="top"/>
      <protection locked="0" hidden="1"/>
    </xf>
    <xf numFmtId="0" fontId="1" fillId="0" borderId="1" xfId="0" applyFont="1" applyBorder="1" applyProtection="1">
      <protection locked="0" hidden="1"/>
    </xf>
    <xf numFmtId="1" fontId="1" fillId="0" borderId="1" xfId="0" applyNumberFormat="1" applyFont="1" applyBorder="1" applyProtection="1">
      <protection locked="0" hidden="1"/>
    </xf>
    <xf numFmtId="0" fontId="1" fillId="0" borderId="1" xfId="0" applyFont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locked="0" hidden="1"/>
    </xf>
    <xf numFmtId="0" fontId="8" fillId="0" borderId="2" xfId="0" applyFont="1" applyBorder="1" applyAlignment="1" applyProtection="1">
      <alignment horizontal="center" vertical="center" shrinkToFit="1"/>
      <protection locked="0" hidden="1"/>
    </xf>
    <xf numFmtId="0" fontId="6" fillId="0" borderId="0" xfId="0" applyFont="1" applyAlignment="1" applyProtection="1">
      <alignment wrapText="1"/>
      <protection hidden="1"/>
    </xf>
    <xf numFmtId="0" fontId="2" fillId="0" borderId="0" xfId="0" applyFont="1" applyAlignment="1" applyProtection="1">
      <alignment wrapText="1"/>
      <protection hidden="1"/>
    </xf>
    <xf numFmtId="0" fontId="2" fillId="0" borderId="0" xfId="0" applyFont="1" applyAlignment="1" applyProtection="1">
      <alignment horizontal="left" wrapText="1"/>
      <protection hidden="1"/>
    </xf>
    <xf numFmtId="0" fontId="13" fillId="0" borderId="2" xfId="0" applyFont="1" applyBorder="1" applyAlignment="1" applyProtection="1">
      <alignment horizontal="left" vertical="center" shrinkToFit="1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2" xfId="0" applyFont="1" applyBorder="1" applyAlignment="1" applyProtection="1">
      <alignment vertical="top"/>
      <protection hidden="1"/>
    </xf>
    <xf numFmtId="0" fontId="19" fillId="0" borderId="2" xfId="0" applyFont="1" applyBorder="1" applyAlignment="1" applyProtection="1">
      <alignment horizontal="center" vertical="top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14" fontId="2" fillId="0" borderId="0" xfId="0" applyNumberFormat="1" applyFont="1" applyAlignment="1" applyProtection="1">
      <alignment horizontal="right" vertical="top" wrapText="1"/>
      <protection hidden="1"/>
    </xf>
    <xf numFmtId="14" fontId="2" fillId="0" borderId="0" xfId="0" applyNumberFormat="1" applyFont="1" applyAlignment="1" applyProtection="1">
      <alignment horizontal="left" vertical="top" wrapText="1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0" fontId="13" fillId="0" borderId="2" xfId="0" applyFont="1" applyBorder="1" applyAlignment="1" applyProtection="1">
      <alignment horizontal="center" vertical="top"/>
      <protection hidden="1"/>
    </xf>
    <xf numFmtId="0" fontId="16" fillId="0" borderId="2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shrinkToFit="1"/>
      <protection hidden="1"/>
    </xf>
    <xf numFmtId="0" fontId="6" fillId="0" borderId="0" xfId="0" applyFont="1" applyAlignment="1" applyProtection="1">
      <alignment horizontal="center" vertical="center" shrinkToFit="1"/>
      <protection hidden="1"/>
    </xf>
    <xf numFmtId="0" fontId="4" fillId="0" borderId="0" xfId="0" applyFont="1" applyAlignment="1" applyProtection="1">
      <alignment shrinkToFit="1"/>
      <protection hidden="1"/>
    </xf>
    <xf numFmtId="0" fontId="2" fillId="0" borderId="0" xfId="0" applyFont="1" applyAlignment="1" applyProtection="1">
      <alignment horizontal="center" vertical="center" shrinkToFit="1"/>
      <protection hidden="1"/>
    </xf>
    <xf numFmtId="0" fontId="7" fillId="0" borderId="0" xfId="0" applyFont="1" applyAlignment="1" applyProtection="1">
      <alignment vertical="top" wrapText="1"/>
      <protection hidden="1"/>
    </xf>
    <xf numFmtId="0" fontId="7" fillId="0" borderId="0" xfId="0" applyFont="1" applyAlignment="1" applyProtection="1">
      <alignment wrapText="1"/>
      <protection hidden="1"/>
    </xf>
    <xf numFmtId="0" fontId="13" fillId="0" borderId="2" xfId="0" applyFont="1" applyBorder="1" applyAlignment="1" applyProtection="1">
      <alignment horizontal="center" vertical="top" wrapText="1"/>
      <protection hidden="1"/>
    </xf>
    <xf numFmtId="0" fontId="14" fillId="0" borderId="2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horizontal="left" vertical="center" shrinkToFit="1"/>
      <protection hidden="1"/>
    </xf>
    <xf numFmtId="49" fontId="9" fillId="0" borderId="1" xfId="0" applyNumberFormat="1" applyFont="1" applyBorder="1" applyAlignment="1" applyProtection="1">
      <alignment horizontal="center" vertical="top" wrapText="1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2" fillId="0" borderId="0" xfId="0" applyFont="1" applyProtection="1">
      <protection hidden="1"/>
    </xf>
    <xf numFmtId="0" fontId="4" fillId="0" borderId="0" xfId="0" applyFont="1" applyAlignment="1" applyProtection="1">
      <alignment vertical="top" wrapText="1"/>
      <protection hidden="1"/>
    </xf>
    <xf numFmtId="0" fontId="4" fillId="0" borderId="0" xfId="0" applyFont="1" applyProtection="1">
      <protection hidden="1"/>
    </xf>
    <xf numFmtId="49" fontId="4" fillId="0" borderId="0" xfId="0" applyNumberFormat="1" applyFont="1" applyAlignment="1" applyProtection="1">
      <alignment horizontal="center" vertical="top" wrapText="1"/>
      <protection hidden="1"/>
    </xf>
    <xf numFmtId="0" fontId="4" fillId="0" borderId="0" xfId="0" applyFont="1" applyAlignment="1" applyProtection="1">
      <alignment horizontal="center" vertical="top" wrapText="1"/>
      <protection hidden="1"/>
    </xf>
    <xf numFmtId="0" fontId="1" fillId="0" borderId="0" xfId="0" applyFont="1" applyProtection="1">
      <protection hidden="1"/>
    </xf>
    <xf numFmtId="0" fontId="4" fillId="0" borderId="0" xfId="0" applyFont="1" applyAlignment="1" applyProtection="1">
      <alignment wrapText="1"/>
      <protection hidden="1"/>
    </xf>
    <xf numFmtId="0" fontId="2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right" vertical="top" wrapText="1"/>
      <protection hidden="1"/>
    </xf>
    <xf numFmtId="0" fontId="4" fillId="0" borderId="0" xfId="0" applyFont="1" applyAlignment="1" applyProtection="1">
      <alignment horizontal="right" vertical="top" wrapText="1"/>
      <protection hidden="1"/>
    </xf>
    <xf numFmtId="0" fontId="2" fillId="0" borderId="0" xfId="0" applyFont="1" applyAlignment="1" applyProtection="1">
      <alignment vertical="center" shrinkToFit="1"/>
      <protection hidden="1"/>
    </xf>
    <xf numFmtId="0" fontId="2" fillId="0" borderId="4" xfId="0" applyFont="1" applyBorder="1" applyAlignment="1" applyProtection="1">
      <alignment horizontal="left" vertical="center" shrinkToFit="1"/>
      <protection hidden="1"/>
    </xf>
    <xf numFmtId="0" fontId="2" fillId="0" borderId="5" xfId="0" applyFont="1" applyBorder="1" applyAlignment="1" applyProtection="1">
      <alignment horizontal="left" vertical="center" shrinkToFit="1"/>
      <protection hidden="1"/>
    </xf>
    <xf numFmtId="0" fontId="2" fillId="0" borderId="11" xfId="0" applyFont="1" applyBorder="1" applyAlignment="1" applyProtection="1">
      <alignment horizontal="left" vertical="center" shrinkToFit="1"/>
      <protection hidden="1"/>
    </xf>
    <xf numFmtId="0" fontId="2" fillId="0" borderId="8" xfId="0" applyFont="1" applyBorder="1" applyAlignment="1" applyProtection="1">
      <alignment horizontal="left" vertical="center" shrinkToFit="1"/>
      <protection hidden="1"/>
    </xf>
    <xf numFmtId="164" fontId="4" fillId="0" borderId="0" xfId="0" applyNumberFormat="1" applyFont="1" applyAlignment="1" applyProtection="1">
      <alignment horizontal="center" vertical="top" wrapText="1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wrapText="1"/>
      <protection hidden="1"/>
    </xf>
    <xf numFmtId="0" fontId="7" fillId="0" borderId="0" xfId="0" applyFont="1" applyProtection="1">
      <protection hidden="1"/>
    </xf>
    <xf numFmtId="0" fontId="3" fillId="0" borderId="0" xfId="0" applyFont="1" applyAlignment="1" applyProtection="1">
      <alignment vertical="top" wrapText="1"/>
      <protection hidden="1"/>
    </xf>
    <xf numFmtId="0" fontId="2" fillId="0" borderId="1" xfId="0" applyFont="1" applyBorder="1" applyAlignment="1" applyProtection="1">
      <alignment horizontal="left" vertical="center" shrinkToFit="1"/>
      <protection hidden="1"/>
    </xf>
    <xf numFmtId="0" fontId="3" fillId="0" borderId="0" xfId="0" applyFont="1" applyAlignment="1" applyProtection="1">
      <alignment horizontal="center" vertical="top" wrapText="1"/>
      <protection hidden="1"/>
    </xf>
    <xf numFmtId="0" fontId="3" fillId="0" borderId="2" xfId="0" applyFont="1" applyBorder="1" applyAlignment="1" applyProtection="1">
      <alignment horizontal="center" vertical="center"/>
      <protection hidden="1"/>
    </xf>
    <xf numFmtId="49" fontId="7" fillId="0" borderId="0" xfId="0" applyNumberFormat="1" applyFont="1" applyAlignment="1" applyProtection="1">
      <alignment horizontal="center" wrapText="1"/>
      <protection hidden="1"/>
    </xf>
    <xf numFmtId="0" fontId="2" fillId="0" borderId="0" xfId="0" applyFont="1" applyAlignment="1" applyProtection="1">
      <alignment vertical="justify" wrapText="1"/>
      <protection hidden="1"/>
    </xf>
    <xf numFmtId="0" fontId="2" fillId="0" borderId="0" xfId="0" applyFont="1" applyAlignment="1" applyProtection="1">
      <alignment horizontal="center" vertical="justify" wrapText="1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vertical="top" wrapText="1"/>
      <protection hidden="1"/>
    </xf>
    <xf numFmtId="0" fontId="13" fillId="0" borderId="4" xfId="0" applyFont="1" applyBorder="1" applyAlignment="1" applyProtection="1">
      <alignment horizontal="left" vertical="center" shrinkToFit="1"/>
      <protection hidden="1"/>
    </xf>
    <xf numFmtId="0" fontId="13" fillId="0" borderId="5" xfId="0" applyFont="1" applyBorder="1" applyAlignment="1" applyProtection="1">
      <alignment horizontal="left" vertical="center" shrinkToFit="1"/>
      <protection hidden="1"/>
    </xf>
    <xf numFmtId="0" fontId="13" fillId="0" borderId="11" xfId="0" applyFont="1" applyBorder="1" applyAlignment="1" applyProtection="1">
      <alignment horizontal="left" vertical="center" shrinkToFit="1"/>
      <protection hidden="1"/>
    </xf>
    <xf numFmtId="0" fontId="13" fillId="0" borderId="0" xfId="0" applyFont="1" applyAlignment="1" applyProtection="1">
      <alignment horizontal="left" vertical="top" wrapText="1"/>
      <protection hidden="1"/>
    </xf>
    <xf numFmtId="0" fontId="16" fillId="0" borderId="0" xfId="0" applyFont="1" applyAlignment="1" applyProtection="1">
      <alignment shrinkToFit="1"/>
      <protection hidden="1"/>
    </xf>
    <xf numFmtId="0" fontId="6" fillId="0" borderId="0" xfId="0" applyFont="1" applyAlignment="1" applyProtection="1">
      <alignment horizontal="center" wrapText="1"/>
      <protection hidden="1"/>
    </xf>
    <xf numFmtId="0" fontId="7" fillId="0" borderId="0" xfId="0" applyFont="1" applyAlignment="1" applyProtection="1">
      <alignment shrinkToFit="1"/>
      <protection hidden="1"/>
    </xf>
    <xf numFmtId="0" fontId="32" fillId="0" borderId="0" xfId="0" applyFont="1" applyAlignment="1" applyProtection="1">
      <alignment vertical="top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14" fontId="2" fillId="0" borderId="0" xfId="0" applyNumberFormat="1" applyFont="1" applyAlignment="1" applyProtection="1">
      <alignment horizontal="center" vertical="top" wrapText="1"/>
      <protection hidden="1"/>
    </xf>
    <xf numFmtId="0" fontId="2" fillId="0" borderId="0" xfId="0" applyFont="1" applyAlignment="1" applyProtection="1">
      <alignment horizontal="center" wrapText="1"/>
      <protection hidden="1"/>
    </xf>
    <xf numFmtId="0" fontId="1" fillId="0" borderId="0" xfId="0" applyFont="1" applyAlignment="1" applyProtection="1">
      <alignment wrapText="1"/>
      <protection hidden="1"/>
    </xf>
    <xf numFmtId="0" fontId="8" fillId="0" borderId="0" xfId="0" applyFont="1" applyAlignment="1" applyProtection="1">
      <alignment horizontal="center" vertical="center" shrinkToFit="1"/>
      <protection hidden="1"/>
    </xf>
    <xf numFmtId="0" fontId="36" fillId="0" borderId="0" xfId="0" applyFont="1" applyAlignment="1" applyProtection="1">
      <alignment wrapText="1"/>
      <protection hidden="1"/>
    </xf>
    <xf numFmtId="0" fontId="37" fillId="0" borderId="0" xfId="0" applyFont="1" applyAlignment="1" applyProtection="1">
      <alignment shrinkToFit="1"/>
      <protection hidden="1"/>
    </xf>
    <xf numFmtId="0" fontId="8" fillId="0" borderId="0" xfId="0" applyFont="1" applyAlignment="1" applyProtection="1">
      <alignment horizontal="center" vertical="center" wrapText="1"/>
      <protection hidden="1"/>
    </xf>
    <xf numFmtId="0" fontId="8" fillId="0" borderId="0" xfId="0" applyFont="1" applyAlignment="1" applyProtection="1">
      <alignment horizontal="left" vertical="top" wrapText="1"/>
      <protection hidden="1"/>
    </xf>
    <xf numFmtId="0" fontId="32" fillId="0" borderId="0" xfId="0" applyFont="1" applyAlignment="1" applyProtection="1">
      <alignment horizontal="center" vertical="top" wrapText="1"/>
      <protection hidden="1"/>
    </xf>
    <xf numFmtId="0" fontId="8" fillId="0" borderId="0" xfId="0" applyFont="1" applyAlignment="1" applyProtection="1">
      <alignment horizontal="center" vertical="top" wrapText="1"/>
      <protection hidden="1"/>
    </xf>
    <xf numFmtId="0" fontId="8" fillId="0" borderId="0" xfId="0" applyFont="1" applyAlignment="1" applyProtection="1">
      <alignment vertical="top" wrapText="1"/>
      <protection hidden="1"/>
    </xf>
    <xf numFmtId="0" fontId="8" fillId="0" borderId="9" xfId="0" applyFont="1" applyBorder="1" applyAlignment="1" applyProtection="1">
      <alignment vertical="top" wrapText="1"/>
      <protection hidden="1"/>
    </xf>
    <xf numFmtId="0" fontId="38" fillId="0" borderId="0" xfId="0" applyFont="1" applyAlignment="1" applyProtection="1">
      <alignment horizontal="center" vertical="center" shrinkToFit="1"/>
      <protection hidden="1"/>
    </xf>
    <xf numFmtId="0" fontId="9" fillId="0" borderId="0" xfId="0" applyFont="1" applyAlignment="1" applyProtection="1">
      <alignment horizontal="left" vertical="center" shrinkToFit="1"/>
      <protection hidden="1"/>
    </xf>
    <xf numFmtId="0" fontId="8" fillId="0" borderId="3" xfId="0" applyFont="1" applyBorder="1" applyAlignment="1" applyProtection="1">
      <alignment vertical="top" wrapText="1"/>
      <protection hidden="1"/>
    </xf>
    <xf numFmtId="0" fontId="9" fillId="0" borderId="0" xfId="0" applyFont="1" applyAlignment="1" applyProtection="1">
      <alignment horizontal="right" vertical="center" shrinkToFit="1"/>
      <protection hidden="1"/>
    </xf>
    <xf numFmtId="0" fontId="32" fillId="0" borderId="3" xfId="0" applyFont="1" applyBorder="1" applyAlignment="1" applyProtection="1">
      <alignment horizontal="center" vertical="top" wrapText="1"/>
      <protection hidden="1"/>
    </xf>
    <xf numFmtId="0" fontId="8" fillId="0" borderId="10" xfId="0" applyFont="1" applyBorder="1" applyAlignment="1" applyProtection="1">
      <alignment vertical="top" wrapText="1"/>
      <protection hidden="1"/>
    </xf>
    <xf numFmtId="0" fontId="8" fillId="0" borderId="4" xfId="0" applyFont="1" applyBorder="1" applyAlignment="1" applyProtection="1">
      <alignment horizontal="center" vertical="top" wrapText="1"/>
      <protection hidden="1"/>
    </xf>
    <xf numFmtId="0" fontId="8" fillId="0" borderId="5" xfId="0" applyFont="1" applyBorder="1" applyAlignment="1" applyProtection="1">
      <alignment horizontal="center" vertical="top" wrapText="1"/>
      <protection hidden="1"/>
    </xf>
    <xf numFmtId="0" fontId="8" fillId="0" borderId="11" xfId="0" applyFont="1" applyBorder="1" applyAlignment="1" applyProtection="1">
      <alignment horizontal="center" vertical="top" wrapText="1"/>
      <protection hidden="1"/>
    </xf>
    <xf numFmtId="0" fontId="32" fillId="0" borderId="9" xfId="0" applyFont="1" applyBorder="1" applyAlignment="1" applyProtection="1">
      <alignment horizontal="center" vertical="top" wrapText="1"/>
      <protection hidden="1"/>
    </xf>
    <xf numFmtId="0" fontId="14" fillId="0" borderId="0" xfId="0" applyFont="1" applyAlignment="1" applyProtection="1">
      <alignment horizontal="center" vertical="center" wrapText="1"/>
      <protection hidden="1"/>
    </xf>
    <xf numFmtId="0" fontId="18" fillId="0" borderId="0" xfId="0" applyFont="1" applyAlignment="1" applyProtection="1">
      <alignment vertical="center" shrinkToFit="1"/>
      <protection hidden="1"/>
    </xf>
    <xf numFmtId="0" fontId="18" fillId="0" borderId="0" xfId="0" applyFont="1" applyAlignment="1" applyProtection="1">
      <alignment shrinkToFit="1"/>
      <protection hidden="1"/>
    </xf>
    <xf numFmtId="0" fontId="7" fillId="0" borderId="0" xfId="0" applyFont="1" applyAlignment="1" applyProtection="1">
      <alignment horizontal="left" wrapText="1"/>
      <protection hidden="1"/>
    </xf>
    <xf numFmtId="0" fontId="16" fillId="0" borderId="0" xfId="0" applyFont="1" applyAlignment="1" applyProtection="1">
      <alignment horizontal="left" shrinkToFit="1"/>
      <protection hidden="1"/>
    </xf>
    <xf numFmtId="0" fontId="31" fillId="0" borderId="0" xfId="0" applyFont="1" applyAlignment="1" applyProtection="1">
      <alignment horizontal="left" wrapText="1"/>
      <protection hidden="1"/>
    </xf>
    <xf numFmtId="0" fontId="8" fillId="0" borderId="0" xfId="0" applyFont="1" applyAlignment="1" applyProtection="1">
      <alignment horizontal="left" wrapText="1"/>
      <protection hidden="1"/>
    </xf>
    <xf numFmtId="0" fontId="32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right" wrapText="1"/>
      <protection hidden="1"/>
    </xf>
    <xf numFmtId="0" fontId="1" fillId="0" borderId="0" xfId="0" applyFont="1" applyAlignment="1" applyProtection="1">
      <alignment horizontal="right" wrapText="1"/>
      <protection hidden="1"/>
    </xf>
    <xf numFmtId="0" fontId="36" fillId="0" borderId="0" xfId="0" applyFont="1" applyAlignment="1" applyProtection="1">
      <alignment horizontal="right" wrapText="1"/>
      <protection hidden="1"/>
    </xf>
    <xf numFmtId="0" fontId="22" fillId="0" borderId="0" xfId="0" applyFont="1" applyAlignment="1" applyProtection="1">
      <alignment horizontal="center" vertical="top" wrapText="1"/>
      <protection hidden="1"/>
    </xf>
    <xf numFmtId="0" fontId="22" fillId="0" borderId="0" xfId="0" applyFont="1" applyAlignment="1" applyProtection="1">
      <alignment horizontal="center" wrapText="1"/>
      <protection hidden="1"/>
    </xf>
    <xf numFmtId="0" fontId="7" fillId="0" borderId="0" xfId="0" applyFont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horizontal="center" vertical="center" shrinkToFit="1"/>
      <protection hidden="1"/>
    </xf>
    <xf numFmtId="0" fontId="35" fillId="0" borderId="0" xfId="0" applyFont="1" applyAlignment="1" applyProtection="1">
      <alignment horizontal="left" wrapText="1"/>
      <protection hidden="1"/>
    </xf>
    <xf numFmtId="0" fontId="7" fillId="0" borderId="0" xfId="0" applyFont="1" applyAlignment="1" applyProtection="1">
      <alignment horizontal="right" wrapText="1"/>
      <protection hidden="1"/>
    </xf>
    <xf numFmtId="0" fontId="2" fillId="0" borderId="1" xfId="0" applyFont="1" applyBorder="1" applyAlignment="1" applyProtection="1">
      <alignment wrapText="1"/>
      <protection hidden="1"/>
    </xf>
    <xf numFmtId="0" fontId="13" fillId="0" borderId="0" xfId="0" applyFont="1" applyAlignment="1" applyProtection="1">
      <alignment horizontal="center" wrapText="1"/>
      <protection hidden="1"/>
    </xf>
    <xf numFmtId="0" fontId="2" fillId="0" borderId="0" xfId="0" applyFont="1" applyAlignment="1" applyProtection="1">
      <alignment shrinkToFit="1"/>
      <protection hidden="1"/>
    </xf>
    <xf numFmtId="0" fontId="2" fillId="0" borderId="1" xfId="0" applyFont="1" applyBorder="1" applyAlignment="1" applyProtection="1">
      <alignment vertical="center" shrinkToFit="1"/>
      <protection hidden="1"/>
    </xf>
    <xf numFmtId="0" fontId="3" fillId="0" borderId="30" xfId="0" applyFont="1" applyBorder="1" applyAlignment="1" applyProtection="1">
      <alignment horizontal="center" vertical="center" shrinkToFit="1"/>
      <protection hidden="1"/>
    </xf>
    <xf numFmtId="0" fontId="33" fillId="0" borderId="32" xfId="0" applyFont="1" applyBorder="1" applyAlignment="1" applyProtection="1">
      <alignment horizontal="center" vertical="top" wrapText="1"/>
      <protection hidden="1"/>
    </xf>
    <xf numFmtId="0" fontId="34" fillId="0" borderId="32" xfId="0" applyFont="1" applyBorder="1" applyAlignment="1" applyProtection="1">
      <alignment horizontal="center" vertical="top" wrapText="1"/>
      <protection hidden="1"/>
    </xf>
    <xf numFmtId="0" fontId="37" fillId="0" borderId="0" xfId="0" applyFont="1" applyAlignment="1" applyProtection="1">
      <alignment horizontal="center" wrapText="1"/>
      <protection hidden="1"/>
    </xf>
    <xf numFmtId="0" fontId="38" fillId="0" borderId="0" xfId="0" applyFont="1" applyAlignment="1" applyProtection="1">
      <alignment vertical="center" wrapText="1"/>
      <protection hidden="1"/>
    </xf>
    <xf numFmtId="1" fontId="8" fillId="0" borderId="0" xfId="0" applyNumberFormat="1" applyFont="1" applyAlignment="1" applyProtection="1">
      <alignment vertical="top" wrapText="1"/>
      <protection hidden="1"/>
    </xf>
    <xf numFmtId="0" fontId="8" fillId="0" borderId="2" xfId="0" applyFont="1" applyBorder="1" applyAlignment="1" applyProtection="1">
      <alignment horizontal="center" shrinkToFit="1"/>
      <protection locked="0" hidden="1"/>
    </xf>
    <xf numFmtId="0" fontId="8" fillId="0" borderId="2" xfId="0" applyFont="1" applyBorder="1" applyAlignment="1" applyProtection="1">
      <alignment horizontal="left" vertical="top" shrinkToFit="1"/>
      <protection locked="0" hidden="1"/>
    </xf>
    <xf numFmtId="0" fontId="8" fillId="0" borderId="2" xfId="0" applyFont="1" applyBorder="1" applyAlignment="1" applyProtection="1">
      <alignment horizontal="left" shrinkToFit="1"/>
      <protection locked="0" hidden="1"/>
    </xf>
    <xf numFmtId="14" fontId="8" fillId="0" borderId="2" xfId="0" applyNumberFormat="1" applyFont="1" applyBorder="1" applyAlignment="1" applyProtection="1">
      <alignment horizontal="center" shrinkToFit="1"/>
      <protection locked="0" hidden="1"/>
    </xf>
    <xf numFmtId="2" fontId="8" fillId="0" borderId="2" xfId="0" applyNumberFormat="1" applyFont="1" applyBorder="1" applyAlignment="1" applyProtection="1">
      <alignment horizontal="center" shrinkToFit="1"/>
      <protection locked="0" hidden="1"/>
    </xf>
    <xf numFmtId="0" fontId="8" fillId="0" borderId="2" xfId="0" applyFont="1" applyBorder="1" applyAlignment="1" applyProtection="1">
      <alignment horizontal="center" vertical="top" shrinkToFit="1"/>
      <protection locked="0" hidden="1"/>
    </xf>
    <xf numFmtId="0" fontId="8" fillId="0" borderId="22" xfId="0" applyFont="1" applyBorder="1" applyAlignment="1" applyProtection="1">
      <alignment horizontal="center" shrinkToFit="1"/>
      <protection locked="0" hidden="1"/>
    </xf>
    <xf numFmtId="0" fontId="8" fillId="0" borderId="22" xfId="0" applyFont="1" applyBorder="1" applyAlignment="1" applyProtection="1">
      <alignment horizontal="left" vertical="top" shrinkToFit="1"/>
      <protection locked="0" hidden="1"/>
    </xf>
    <xf numFmtId="0" fontId="8" fillId="0" borderId="22" xfId="0" applyFont="1" applyBorder="1" applyAlignment="1" applyProtection="1">
      <alignment horizontal="left" shrinkToFit="1"/>
      <protection locked="0" hidden="1"/>
    </xf>
    <xf numFmtId="14" fontId="8" fillId="0" borderId="22" xfId="0" applyNumberFormat="1" applyFont="1" applyBorder="1" applyAlignment="1" applyProtection="1">
      <alignment horizontal="center" shrinkToFit="1"/>
      <protection locked="0" hidden="1"/>
    </xf>
    <xf numFmtId="2" fontId="8" fillId="0" borderId="22" xfId="0" applyNumberFormat="1" applyFont="1" applyBorder="1" applyAlignment="1" applyProtection="1">
      <alignment horizontal="center" shrinkToFit="1"/>
      <protection locked="0" hidden="1"/>
    </xf>
    <xf numFmtId="0" fontId="8" fillId="0" borderId="22" xfId="0" applyFont="1" applyBorder="1" applyAlignment="1" applyProtection="1">
      <alignment horizontal="center" vertical="top" shrinkToFit="1"/>
      <protection locked="0" hidden="1"/>
    </xf>
    <xf numFmtId="0" fontId="29" fillId="0" borderId="40" xfId="0" applyFont="1" applyBorder="1" applyAlignment="1" applyProtection="1">
      <alignment vertical="center" shrinkToFit="1"/>
      <protection hidden="1"/>
    </xf>
    <xf numFmtId="0" fontId="29" fillId="0" borderId="41" xfId="0" applyFont="1" applyBorder="1" applyAlignment="1" applyProtection="1">
      <alignment vertical="center" shrinkToFit="1"/>
      <protection hidden="1"/>
    </xf>
    <xf numFmtId="165" fontId="29" fillId="0" borderId="14" xfId="0" applyNumberFormat="1" applyFont="1" applyBorder="1" applyAlignment="1" applyProtection="1">
      <alignment horizontal="center" vertical="center" shrinkToFit="1"/>
      <protection locked="0" hidden="1"/>
    </xf>
    <xf numFmtId="165" fontId="29" fillId="0" borderId="16" xfId="0" applyNumberFormat="1" applyFont="1" applyBorder="1" applyAlignment="1" applyProtection="1">
      <alignment horizontal="center" vertical="center" shrinkToFit="1"/>
      <protection locked="0" hidden="1"/>
    </xf>
    <xf numFmtId="0" fontId="27" fillId="0" borderId="4" xfId="0" applyFont="1" applyBorder="1" applyProtection="1">
      <protection hidden="1"/>
    </xf>
    <xf numFmtId="0" fontId="27" fillId="0" borderId="2" xfId="0" applyFont="1" applyBorder="1" applyProtection="1">
      <protection hidden="1"/>
    </xf>
    <xf numFmtId="0" fontId="21" fillId="0" borderId="22" xfId="0" applyFont="1" applyBorder="1" applyAlignment="1" applyProtection="1">
      <alignment vertical="center" shrinkToFit="1"/>
      <protection hidden="1"/>
    </xf>
    <xf numFmtId="0" fontId="21" fillId="0" borderId="23" xfId="0" applyFont="1" applyBorder="1" applyAlignment="1" applyProtection="1">
      <alignment vertical="center" shrinkToFit="1"/>
      <protection hidden="1"/>
    </xf>
    <xf numFmtId="0" fontId="22" fillId="0" borderId="11" xfId="0" applyFont="1" applyBorder="1" applyAlignment="1" applyProtection="1">
      <alignment vertical="center" wrapText="1"/>
      <protection hidden="1"/>
    </xf>
    <xf numFmtId="0" fontId="26" fillId="0" borderId="2" xfId="0" applyFont="1" applyBorder="1" applyAlignment="1" applyProtection="1">
      <alignment horizontal="center" vertical="center" wrapText="1"/>
      <protection hidden="1"/>
    </xf>
    <xf numFmtId="0" fontId="24" fillId="0" borderId="17" xfId="0" applyFont="1" applyBorder="1" applyAlignment="1" applyProtection="1">
      <alignment horizontal="center" vertical="center" shrinkToFit="1"/>
      <protection hidden="1"/>
    </xf>
    <xf numFmtId="0" fontId="24" fillId="0" borderId="18" xfId="0" applyFont="1" applyBorder="1" applyAlignment="1" applyProtection="1">
      <alignment horizontal="center" vertical="center" shrinkToFit="1"/>
      <protection hidden="1"/>
    </xf>
    <xf numFmtId="0" fontId="24" fillId="0" borderId="19" xfId="0" applyFont="1" applyBorder="1" applyAlignment="1" applyProtection="1">
      <alignment horizontal="center" vertical="center" shrinkToFit="1"/>
      <protection hidden="1"/>
    </xf>
    <xf numFmtId="0" fontId="23" fillId="0" borderId="1" xfId="0" applyFont="1" applyBorder="1" applyProtection="1">
      <protection hidden="1"/>
    </xf>
    <xf numFmtId="165" fontId="29" fillId="0" borderId="43" xfId="0" applyNumberFormat="1" applyFont="1" applyBorder="1" applyAlignment="1" applyProtection="1">
      <alignment horizontal="center" vertical="center" shrinkToFit="1"/>
      <protection locked="0" hidden="1"/>
    </xf>
    <xf numFmtId="165" fontId="29" fillId="0" borderId="44" xfId="0" applyNumberFormat="1" applyFont="1" applyBorder="1" applyAlignment="1" applyProtection="1">
      <alignment horizontal="center" vertical="center" shrinkToFit="1"/>
      <protection locked="0" hidden="1"/>
    </xf>
    <xf numFmtId="165" fontId="29" fillId="0" borderId="45" xfId="0" applyNumberFormat="1" applyFont="1" applyBorder="1" applyAlignment="1" applyProtection="1">
      <alignment horizontal="center" vertical="center" shrinkToFit="1"/>
      <protection locked="0" hidden="1"/>
    </xf>
    <xf numFmtId="165" fontId="29" fillId="0" borderId="46" xfId="0" applyNumberFormat="1" applyFont="1" applyBorder="1" applyAlignment="1" applyProtection="1">
      <alignment horizontal="center" vertical="center" shrinkToFit="1"/>
      <protection locked="0" hidden="1"/>
    </xf>
    <xf numFmtId="165" fontId="29" fillId="0" borderId="47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29" xfId="0" applyNumberFormat="1" applyFont="1" applyBorder="1" applyAlignment="1" applyProtection="1">
      <alignment horizontal="center" vertical="center" shrinkToFit="1"/>
      <protection hidden="1"/>
    </xf>
    <xf numFmtId="0" fontId="40" fillId="0" borderId="7" xfId="0" applyFont="1" applyBorder="1" applyAlignment="1" applyProtection="1">
      <alignment horizontal="center" vertical="center"/>
      <protection hidden="1"/>
    </xf>
    <xf numFmtId="165" fontId="29" fillId="0" borderId="49" xfId="0" applyNumberFormat="1" applyFont="1" applyBorder="1" applyAlignment="1" applyProtection="1">
      <alignment horizontal="center" vertical="center" shrinkToFit="1"/>
      <protection locked="0" hidden="1"/>
    </xf>
    <xf numFmtId="165" fontId="29" fillId="0" borderId="50" xfId="0" applyNumberFormat="1" applyFont="1" applyBorder="1" applyAlignment="1" applyProtection="1">
      <alignment horizontal="center" vertical="center" shrinkToFit="1"/>
      <protection locked="0" hidden="1"/>
    </xf>
    <xf numFmtId="0" fontId="23" fillId="0" borderId="0" xfId="0" applyFont="1" applyProtection="1">
      <protection hidden="1"/>
    </xf>
    <xf numFmtId="0" fontId="23" fillId="0" borderId="0" xfId="0" applyFont="1" applyAlignment="1" applyProtection="1">
      <alignment horizontal="left"/>
      <protection hidden="1"/>
    </xf>
    <xf numFmtId="0" fontId="23" fillId="0" borderId="0" xfId="0" applyFont="1" applyAlignment="1" applyProtection="1">
      <alignment horizontal="right"/>
      <protection hidden="1"/>
    </xf>
    <xf numFmtId="0" fontId="0" fillId="0" borderId="1" xfId="0" applyBorder="1" applyProtection="1">
      <protection hidden="1"/>
    </xf>
    <xf numFmtId="0" fontId="23" fillId="0" borderId="1" xfId="0" applyFont="1" applyBorder="1" applyAlignment="1" applyProtection="1">
      <alignment horizontal="left"/>
      <protection hidden="1"/>
    </xf>
    <xf numFmtId="0" fontId="28" fillId="0" borderId="51" xfId="0" applyFont="1" applyBorder="1" applyAlignment="1" applyProtection="1">
      <alignment horizontal="center" vertical="center"/>
      <protection hidden="1"/>
    </xf>
    <xf numFmtId="0" fontId="30" fillId="0" borderId="28" xfId="0" applyFont="1" applyBorder="1" applyAlignment="1" applyProtection="1">
      <alignment horizontal="center" vertical="center" shrinkToFit="1"/>
      <protection locked="0" hidden="1"/>
    </xf>
    <xf numFmtId="0" fontId="30" fillId="0" borderId="40" xfId="0" applyFont="1" applyBorder="1" applyAlignment="1" applyProtection="1">
      <alignment horizontal="center" vertical="center" shrinkToFit="1"/>
      <protection locked="0" hidden="1"/>
    </xf>
    <xf numFmtId="0" fontId="29" fillId="0" borderId="40" xfId="0" applyFont="1" applyBorder="1" applyAlignment="1" applyProtection="1">
      <alignment horizontal="center" vertical="center" shrinkToFit="1"/>
      <protection locked="0" hidden="1"/>
    </xf>
    <xf numFmtId="0" fontId="29" fillId="0" borderId="41" xfId="0" applyFont="1" applyBorder="1" applyAlignment="1" applyProtection="1">
      <alignment horizontal="center" vertical="center" shrinkToFit="1"/>
      <protection locked="0" hidden="1"/>
    </xf>
    <xf numFmtId="0" fontId="29" fillId="0" borderId="28" xfId="0" applyFont="1" applyBorder="1" applyAlignment="1" applyProtection="1">
      <alignment horizontal="center" vertical="center" shrinkToFit="1"/>
      <protection locked="0" hidden="1"/>
    </xf>
    <xf numFmtId="0" fontId="21" fillId="0" borderId="12" xfId="0" applyFont="1" applyBorder="1" applyAlignment="1" applyProtection="1">
      <alignment horizontal="center" vertical="center" wrapText="1"/>
      <protection hidden="1"/>
    </xf>
    <xf numFmtId="0" fontId="28" fillId="0" borderId="12" xfId="0" applyFont="1" applyBorder="1" applyAlignment="1" applyProtection="1">
      <alignment horizontal="center" vertical="center" wrapText="1"/>
      <protection hidden="1"/>
    </xf>
    <xf numFmtId="2" fontId="30" fillId="0" borderId="31" xfId="0" applyNumberFormat="1" applyFont="1" applyBorder="1" applyAlignment="1" applyProtection="1">
      <alignment horizontal="center" vertical="center" shrinkToFit="1"/>
      <protection locked="0" hidden="1"/>
    </xf>
    <xf numFmtId="2" fontId="30" fillId="0" borderId="20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20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21" xfId="0" applyNumberFormat="1" applyFont="1" applyBorder="1" applyAlignment="1" applyProtection="1">
      <alignment horizontal="center" vertical="center" shrinkToFit="1"/>
      <protection locked="0" hidden="1"/>
    </xf>
    <xf numFmtId="0" fontId="21" fillId="0" borderId="30" xfId="0" applyFont="1" applyBorder="1" applyAlignment="1" applyProtection="1">
      <alignment horizontal="center" vertical="center" wrapText="1"/>
      <protection hidden="1"/>
    </xf>
    <xf numFmtId="0" fontId="30" fillId="0" borderId="34" xfId="0" applyFont="1" applyBorder="1" applyAlignment="1" applyProtection="1">
      <alignment horizontal="center" vertical="center" shrinkToFit="1"/>
      <protection locked="0" hidden="1"/>
    </xf>
    <xf numFmtId="0" fontId="29" fillId="0" borderId="34" xfId="0" applyFont="1" applyBorder="1" applyAlignment="1" applyProtection="1">
      <alignment horizontal="center" vertical="center" shrinkToFit="1"/>
      <protection locked="0" hidden="1"/>
    </xf>
    <xf numFmtId="2" fontId="30" fillId="0" borderId="21" xfId="0" applyNumberFormat="1" applyFont="1" applyBorder="1" applyAlignment="1" applyProtection="1">
      <alignment horizontal="center" vertical="center" shrinkToFit="1"/>
      <protection locked="0" hidden="1"/>
    </xf>
    <xf numFmtId="0" fontId="9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center" wrapText="1"/>
      <protection locked="0" hidden="1"/>
    </xf>
    <xf numFmtId="0" fontId="2" fillId="0" borderId="0" xfId="0" applyFont="1" applyAlignment="1" applyProtection="1">
      <alignment horizontal="left" vertical="center" shrinkToFit="1"/>
      <protection hidden="1"/>
    </xf>
    <xf numFmtId="0" fontId="2" fillId="0" borderId="0" xfId="0" applyFont="1" applyAlignment="1" applyProtection="1">
      <alignment horizontal="left"/>
      <protection hidden="1"/>
    </xf>
    <xf numFmtId="0" fontId="13" fillId="0" borderId="12" xfId="0" applyFont="1" applyBorder="1" applyAlignment="1" applyProtection="1">
      <alignment horizontal="center"/>
      <protection hidden="1"/>
    </xf>
    <xf numFmtId="0" fontId="13" fillId="0" borderId="7" xfId="0" applyFont="1" applyBorder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wrapText="1"/>
      <protection hidden="1"/>
    </xf>
    <xf numFmtId="0" fontId="2" fillId="0" borderId="0" xfId="0" applyFont="1" applyAlignment="1" applyProtection="1">
      <alignment horizontal="center" vertical="top" wrapText="1"/>
      <protection hidden="1"/>
    </xf>
    <xf numFmtId="0" fontId="3" fillId="0" borderId="0" xfId="0" applyFont="1" applyAlignment="1" applyProtection="1">
      <alignment horizontal="center" vertical="center" wrapText="1"/>
      <protection locked="0" hidden="1"/>
    </xf>
    <xf numFmtId="0" fontId="18" fillId="0" borderId="2" xfId="0" applyFont="1" applyBorder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center" vertical="top" wrapText="1"/>
      <protection hidden="1"/>
    </xf>
    <xf numFmtId="0" fontId="3" fillId="0" borderId="2" xfId="0" applyFont="1" applyBorder="1" applyAlignment="1" applyProtection="1">
      <alignment horizontal="left" vertical="center" shrinkToFit="1"/>
      <protection hidden="1"/>
    </xf>
    <xf numFmtId="0" fontId="2" fillId="0" borderId="0" xfId="0" applyFont="1" applyAlignment="1" applyProtection="1">
      <alignment horizontal="center" vertical="top"/>
      <protection hidden="1"/>
    </xf>
    <xf numFmtId="0" fontId="2" fillId="0" borderId="0" xfId="0" applyFont="1" applyAlignment="1" applyProtection="1">
      <alignment vertical="top"/>
      <protection hidden="1"/>
    </xf>
    <xf numFmtId="0" fontId="1" fillId="0" borderId="0" xfId="0" applyFont="1" applyAlignment="1" applyProtection="1">
      <alignment vertical="top"/>
      <protection hidden="1"/>
    </xf>
    <xf numFmtId="0" fontId="2" fillId="0" borderId="0" xfId="0" applyFont="1" applyAlignment="1" applyProtection="1">
      <alignment horizontal="left" vertical="top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 wrapText="1"/>
      <protection hidden="1"/>
    </xf>
    <xf numFmtId="0" fontId="7" fillId="0" borderId="4" xfId="0" applyFont="1" applyBorder="1" applyAlignment="1" applyProtection="1">
      <alignment horizontal="left" vertical="center" shrinkToFit="1"/>
      <protection hidden="1"/>
    </xf>
    <xf numFmtId="0" fontId="7" fillId="0" borderId="5" xfId="0" applyFont="1" applyBorder="1" applyAlignment="1" applyProtection="1">
      <alignment horizontal="left" vertical="center" shrinkToFit="1"/>
      <protection hidden="1"/>
    </xf>
    <xf numFmtId="0" fontId="7" fillId="0" borderId="11" xfId="0" applyFont="1" applyBorder="1" applyAlignment="1" applyProtection="1">
      <alignment horizontal="left" vertical="center" shrinkToFit="1"/>
      <protection hidden="1"/>
    </xf>
    <xf numFmtId="0" fontId="17" fillId="0" borderId="4" xfId="0" applyFont="1" applyBorder="1" applyAlignment="1" applyProtection="1">
      <alignment horizontal="left" vertical="center" shrinkToFit="1"/>
      <protection hidden="1"/>
    </xf>
    <xf numFmtId="0" fontId="17" fillId="0" borderId="5" xfId="0" applyFont="1" applyBorder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left"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7" fillId="0" borderId="11" xfId="0" applyFont="1" applyBorder="1" applyAlignment="1" applyProtection="1">
      <alignment horizontal="left" vertical="center" shrinkToFit="1"/>
      <protection hidden="1"/>
    </xf>
    <xf numFmtId="0" fontId="17" fillId="0" borderId="0" xfId="0" applyFont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center" wrapText="1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13" fillId="0" borderId="6" xfId="0" applyFont="1" applyBorder="1" applyAlignment="1" applyProtection="1">
      <alignment horizontal="center" vertical="top"/>
      <protection hidden="1"/>
    </xf>
    <xf numFmtId="0" fontId="4" fillId="0" borderId="0" xfId="0" applyFont="1" applyAlignment="1" applyProtection="1">
      <alignment vertical="center" wrapText="1"/>
      <protection hidden="1"/>
    </xf>
    <xf numFmtId="0" fontId="4" fillId="0" borderId="0" xfId="0" applyFont="1" applyAlignment="1" applyProtection="1">
      <alignment horizontal="right" vertical="center" wrapText="1"/>
      <protection hidden="1"/>
    </xf>
    <xf numFmtId="0" fontId="1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horizontal="right" vertical="center" wrapText="1"/>
      <protection hidden="1"/>
    </xf>
    <xf numFmtId="0" fontId="2" fillId="0" borderId="0" xfId="0" applyFont="1" applyAlignment="1" applyProtection="1">
      <alignment vertical="center"/>
      <protection hidden="1"/>
    </xf>
    <xf numFmtId="164" fontId="4" fillId="0" borderId="0" xfId="0" applyNumberFormat="1" applyFont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vertical="center" wrapText="1"/>
      <protection hidden="1"/>
    </xf>
    <xf numFmtId="0" fontId="2" fillId="0" borderId="0" xfId="0" applyFont="1" applyAlignment="1" applyProtection="1">
      <alignment vertical="center" wrapText="1"/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vertical="center"/>
      <protection hidden="1"/>
    </xf>
    <xf numFmtId="0" fontId="3" fillId="0" borderId="0" xfId="0" applyFont="1" applyAlignment="1" applyProtection="1">
      <alignment vertical="center" wrapText="1"/>
      <protection hidden="1"/>
    </xf>
    <xf numFmtId="0" fontId="19" fillId="0" borderId="0" xfId="0" applyFont="1" applyAlignment="1" applyProtection="1">
      <alignment vertical="center" wrapText="1"/>
      <protection hidden="1"/>
    </xf>
    <xf numFmtId="49" fontId="7" fillId="0" borderId="0" xfId="0" applyNumberFormat="1" applyFont="1" applyAlignment="1" applyProtection="1">
      <alignment horizontal="center" vertical="center" wrapText="1"/>
      <protection hidden="1"/>
    </xf>
    <xf numFmtId="0" fontId="13" fillId="0" borderId="6" xfId="0" applyFont="1" applyBorder="1" applyAlignment="1" applyProtection="1">
      <alignment horizontal="center" vertical="center"/>
      <protection hidden="1"/>
    </xf>
    <xf numFmtId="0" fontId="13" fillId="0" borderId="12" xfId="0" applyFont="1" applyBorder="1" applyAlignment="1" applyProtection="1">
      <alignment horizontal="center" vertical="center"/>
      <protection hidden="1"/>
    </xf>
    <xf numFmtId="0" fontId="13" fillId="0" borderId="7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left" vertical="center" wrapText="1"/>
      <protection hidden="1"/>
    </xf>
    <xf numFmtId="0" fontId="19" fillId="0" borderId="0" xfId="0" applyFont="1" applyAlignment="1" applyProtection="1">
      <alignment wrapText="1"/>
      <protection hidden="1"/>
    </xf>
    <xf numFmtId="0" fontId="17" fillId="0" borderId="2" xfId="0" applyFont="1" applyBorder="1" applyAlignment="1" applyProtection="1">
      <alignment horizontal="center" vertical="top"/>
      <protection hidden="1"/>
    </xf>
    <xf numFmtId="0" fontId="7" fillId="0" borderId="3" xfId="0" applyFont="1" applyBorder="1" applyAlignment="1" applyProtection="1">
      <alignment vertical="center" shrinkToFit="1"/>
      <protection hidden="1"/>
    </xf>
    <xf numFmtId="0" fontId="17" fillId="0" borderId="5" xfId="0" applyFont="1" applyBorder="1" applyAlignment="1" applyProtection="1">
      <alignment horizontal="center" vertical="center" shrinkToFit="1"/>
      <protection hidden="1"/>
    </xf>
    <xf numFmtId="0" fontId="7" fillId="0" borderId="3" xfId="0" applyFont="1" applyBorder="1" applyAlignment="1" applyProtection="1">
      <alignment horizontal="center" vertical="center" shrinkToFit="1"/>
      <protection hidden="1"/>
    </xf>
    <xf numFmtId="0" fontId="18" fillId="0" borderId="2" xfId="0" applyFont="1" applyBorder="1" applyAlignment="1" applyProtection="1">
      <alignment horizontal="center" vertical="top"/>
      <protection hidden="1"/>
    </xf>
    <xf numFmtId="0" fontId="16" fillId="0" borderId="0" xfId="0" applyFont="1" applyAlignment="1" applyProtection="1">
      <alignment wrapText="1"/>
      <protection hidden="1"/>
    </xf>
    <xf numFmtId="0" fontId="3" fillId="0" borderId="0" xfId="0" applyFont="1" applyAlignment="1" applyProtection="1">
      <alignment horizontal="right" vertical="center" shrinkToFit="1"/>
      <protection hidden="1"/>
    </xf>
    <xf numFmtId="0" fontId="1" fillId="0" borderId="0" xfId="0" applyFont="1" applyAlignment="1" applyProtection="1">
      <alignment vertical="top" wrapText="1"/>
      <protection hidden="1"/>
    </xf>
    <xf numFmtId="0" fontId="3" fillId="0" borderId="5" xfId="0" applyFont="1" applyBorder="1" applyAlignment="1" applyProtection="1">
      <alignment horizontal="left" vertical="center" shrinkToFit="1"/>
      <protection hidden="1"/>
    </xf>
    <xf numFmtId="0" fontId="3" fillId="0" borderId="3" xfId="0" applyFont="1" applyBorder="1" applyAlignment="1" applyProtection="1">
      <alignment horizontal="right" vertical="center" shrinkToFit="1"/>
      <protection hidden="1"/>
    </xf>
    <xf numFmtId="0" fontId="3" fillId="0" borderId="11" xfId="0" applyFont="1" applyBorder="1" applyAlignment="1" applyProtection="1">
      <alignment horizontal="left" vertical="center" shrinkToFit="1"/>
      <protection hidden="1"/>
    </xf>
    <xf numFmtId="0" fontId="18" fillId="0" borderId="4" xfId="0" applyFont="1" applyBorder="1" applyAlignment="1" applyProtection="1">
      <alignment horizontal="left" vertical="center" shrinkToFit="1"/>
      <protection hidden="1"/>
    </xf>
    <xf numFmtId="0" fontId="18" fillId="0" borderId="9" xfId="0" applyFont="1" applyBorder="1" applyAlignment="1" applyProtection="1">
      <alignment horizontal="right" vertical="center" shrinkToFit="1"/>
      <protection hidden="1"/>
    </xf>
    <xf numFmtId="0" fontId="18" fillId="0" borderId="5" xfId="0" applyFont="1" applyBorder="1" applyAlignment="1" applyProtection="1">
      <alignment horizontal="left" vertical="center" shrinkToFit="1"/>
      <protection hidden="1"/>
    </xf>
    <xf numFmtId="0" fontId="18" fillId="0" borderId="3" xfId="0" applyFont="1" applyBorder="1" applyAlignment="1" applyProtection="1">
      <alignment horizontal="right" vertical="center" shrinkToFit="1"/>
      <protection hidden="1"/>
    </xf>
    <xf numFmtId="0" fontId="3" fillId="0" borderId="0" xfId="0" applyFont="1" applyAlignment="1" applyProtection="1">
      <alignment horizontal="left" vertical="center" shrinkToFit="1"/>
      <protection hidden="1"/>
    </xf>
    <xf numFmtId="0" fontId="18" fillId="0" borderId="11" xfId="0" applyFont="1" applyBorder="1" applyAlignment="1" applyProtection="1">
      <alignment horizontal="left" vertical="center" shrinkToFit="1"/>
      <protection hidden="1"/>
    </xf>
    <xf numFmtId="0" fontId="18" fillId="0" borderId="10" xfId="0" applyFont="1" applyBorder="1" applyAlignment="1" applyProtection="1">
      <alignment horizontal="right" vertical="center" shrinkToFit="1"/>
      <protection hidden="1"/>
    </xf>
    <xf numFmtId="0" fontId="18" fillId="0" borderId="0" xfId="0" applyFont="1" applyAlignment="1" applyProtection="1">
      <alignment horizontal="left" vertical="center" shrinkToFit="1"/>
      <protection hidden="1"/>
    </xf>
    <xf numFmtId="0" fontId="18" fillId="0" borderId="0" xfId="0" applyFont="1" applyAlignment="1" applyProtection="1">
      <alignment horizontal="right" vertical="center" shrinkToFit="1"/>
      <protection hidden="1"/>
    </xf>
    <xf numFmtId="0" fontId="17" fillId="0" borderId="0" xfId="0" applyFont="1" applyAlignment="1" applyProtection="1">
      <alignment horizontal="left" vertical="top" wrapText="1"/>
      <protection hidden="1"/>
    </xf>
    <xf numFmtId="0" fontId="17" fillId="0" borderId="2" xfId="0" applyFont="1" applyBorder="1" applyAlignment="1" applyProtection="1">
      <alignment horizontal="center" vertical="top" wrapText="1"/>
      <protection hidden="1"/>
    </xf>
    <xf numFmtId="0" fontId="18" fillId="0" borderId="0" xfId="0" applyFont="1" applyAlignment="1" applyProtection="1">
      <alignment horizontal="left" vertical="top" shrinkToFit="1"/>
      <protection hidden="1"/>
    </xf>
    <xf numFmtId="0" fontId="7" fillId="0" borderId="1" xfId="0" applyFont="1" applyBorder="1" applyAlignment="1" applyProtection="1">
      <alignment horizontal="left" wrapText="1"/>
      <protection hidden="1"/>
    </xf>
    <xf numFmtId="0" fontId="16" fillId="0" borderId="0" xfId="0" applyFont="1" applyAlignment="1" applyProtection="1">
      <alignment horizontal="left" wrapText="1"/>
      <protection hidden="1"/>
    </xf>
    <xf numFmtId="0" fontId="3" fillId="0" borderId="10" xfId="0" applyFont="1" applyBorder="1" applyAlignment="1" applyProtection="1">
      <alignment horizontal="right" vertical="center" shrinkToFit="1"/>
      <protection hidden="1"/>
    </xf>
    <xf numFmtId="14" fontId="7" fillId="0" borderId="0" xfId="0" applyNumberFormat="1" applyFont="1" applyAlignment="1" applyProtection="1">
      <alignment horizontal="right" vertical="top" wrapText="1"/>
      <protection hidden="1"/>
    </xf>
    <xf numFmtId="14" fontId="7" fillId="0" borderId="0" xfId="0" applyNumberFormat="1" applyFont="1" applyAlignment="1" applyProtection="1">
      <alignment horizontal="left" vertical="top" wrapText="1"/>
      <protection hidden="1"/>
    </xf>
    <xf numFmtId="0" fontId="3" fillId="0" borderId="4" xfId="0" applyFont="1" applyBorder="1" applyAlignment="1" applyProtection="1">
      <alignment horizontal="left" vertical="center" shrinkToFit="1"/>
      <protection hidden="1"/>
    </xf>
    <xf numFmtId="0" fontId="3" fillId="0" borderId="9" xfId="0" applyFont="1" applyBorder="1" applyAlignment="1" applyProtection="1">
      <alignment horizontal="right" vertical="center" shrinkToFit="1"/>
      <protection hidden="1"/>
    </xf>
    <xf numFmtId="0" fontId="14" fillId="0" borderId="2" xfId="0" applyFont="1" applyBorder="1" applyAlignment="1" applyProtection="1">
      <alignment horizontal="center" vertical="center" shrinkToFit="1"/>
      <protection hidden="1"/>
    </xf>
    <xf numFmtId="0" fontId="14" fillId="0" borderId="0" xfId="0" applyFont="1" applyAlignment="1" applyProtection="1">
      <alignment horizontal="center" vertical="center" shrinkToFit="1"/>
      <protection hidden="1"/>
    </xf>
    <xf numFmtId="0" fontId="3" fillId="0" borderId="2" xfId="0" applyFont="1" applyBorder="1" applyAlignment="1" applyProtection="1">
      <alignment horizontal="center" vertical="center" shrinkToFit="1"/>
      <protection hidden="1"/>
    </xf>
    <xf numFmtId="0" fontId="16" fillId="0" borderId="30" xfId="0" applyFont="1" applyBorder="1" applyAlignment="1" applyProtection="1">
      <alignment horizontal="center" vertical="center" shrinkToFit="1"/>
      <protection hidden="1"/>
    </xf>
    <xf numFmtId="0" fontId="20" fillId="0" borderId="0" xfId="0" applyFont="1" applyAlignment="1" applyProtection="1">
      <alignment vertical="top" shrinkToFit="1"/>
      <protection hidden="1"/>
    </xf>
    <xf numFmtId="0" fontId="21" fillId="0" borderId="0" xfId="0" applyFont="1" applyAlignment="1" applyProtection="1">
      <alignment shrinkToFit="1"/>
      <protection hidden="1"/>
    </xf>
    <xf numFmtId="0" fontId="0" fillId="0" borderId="0" xfId="0" applyAlignment="1" applyProtection="1">
      <alignment shrinkToFit="1"/>
      <protection hidden="1"/>
    </xf>
    <xf numFmtId="0" fontId="22" fillId="0" borderId="0" xfId="0" applyFont="1" applyAlignment="1" applyProtection="1">
      <alignment vertical="top" shrinkToFit="1"/>
      <protection hidden="1"/>
    </xf>
    <xf numFmtId="14" fontId="22" fillId="0" borderId="0" xfId="0" applyNumberFormat="1" applyFont="1" applyAlignment="1" applyProtection="1">
      <alignment vertical="top" shrinkToFit="1"/>
      <protection hidden="1"/>
    </xf>
    <xf numFmtId="0" fontId="22" fillId="0" borderId="0" xfId="0" applyFont="1" applyAlignment="1" applyProtection="1">
      <alignment horizontal="center" vertical="top" shrinkToFit="1"/>
      <protection hidden="1"/>
    </xf>
    <xf numFmtId="0" fontId="27" fillId="0" borderId="4" xfId="0" applyFont="1" applyBorder="1" applyAlignment="1" applyProtection="1">
      <alignment shrinkToFit="1"/>
      <protection hidden="1"/>
    </xf>
    <xf numFmtId="0" fontId="27" fillId="0" borderId="2" xfId="0" applyFont="1" applyBorder="1" applyAlignment="1" applyProtection="1">
      <alignment shrinkToFit="1"/>
      <protection hidden="1"/>
    </xf>
    <xf numFmtId="0" fontId="25" fillId="0" borderId="0" xfId="0" applyFont="1" applyAlignment="1" applyProtection="1">
      <alignment horizontal="center" shrinkToFit="1"/>
      <protection hidden="1"/>
    </xf>
    <xf numFmtId="0" fontId="27" fillId="0" borderId="0" xfId="0" applyFont="1" applyAlignment="1" applyProtection="1">
      <alignment shrinkToFit="1"/>
      <protection hidden="1"/>
    </xf>
    <xf numFmtId="0" fontId="22" fillId="0" borderId="11" xfId="0" applyFont="1" applyBorder="1" applyAlignment="1" applyProtection="1">
      <alignment vertical="center" shrinkToFit="1"/>
      <protection hidden="1"/>
    </xf>
    <xf numFmtId="0" fontId="21" fillId="0" borderId="6" xfId="0" applyFont="1" applyBorder="1" applyAlignment="1" applyProtection="1">
      <alignment horizontal="center" vertical="center" shrinkToFit="1"/>
      <protection hidden="1"/>
    </xf>
    <xf numFmtId="0" fontId="28" fillId="0" borderId="51" xfId="0" applyFont="1" applyBorder="1" applyAlignment="1" applyProtection="1">
      <alignment horizontal="center" vertical="center" shrinkToFit="1"/>
      <protection hidden="1"/>
    </xf>
    <xf numFmtId="0" fontId="40" fillId="0" borderId="51" xfId="0" applyFont="1" applyBorder="1" applyAlignment="1" applyProtection="1">
      <alignment horizontal="center" vertical="center" shrinkToFit="1"/>
      <protection hidden="1"/>
    </xf>
    <xf numFmtId="0" fontId="26" fillId="0" borderId="2" xfId="0" applyFont="1" applyBorder="1" applyAlignment="1" applyProtection="1">
      <alignment horizontal="center" vertical="center" shrinkToFit="1"/>
      <protection hidden="1"/>
    </xf>
    <xf numFmtId="0" fontId="24" fillId="0" borderId="0" xfId="0" applyFont="1" applyAlignment="1" applyProtection="1">
      <alignment horizontal="center" vertical="center" shrinkToFit="1"/>
      <protection hidden="1"/>
    </xf>
    <xf numFmtId="0" fontId="21" fillId="0" borderId="0" xfId="0" applyFont="1" applyAlignment="1" applyProtection="1">
      <alignment vertical="top" shrinkToFit="1"/>
      <protection hidden="1"/>
    </xf>
    <xf numFmtId="0" fontId="22" fillId="0" borderId="0" xfId="0" applyFont="1" applyAlignment="1" applyProtection="1">
      <alignment shrinkToFit="1"/>
      <protection hidden="1"/>
    </xf>
    <xf numFmtId="0" fontId="29" fillId="0" borderId="0" xfId="0" applyFont="1" applyAlignment="1" applyProtection="1">
      <alignment horizontal="right" shrinkToFit="1"/>
      <protection hidden="1"/>
    </xf>
    <xf numFmtId="0" fontId="29" fillId="0" borderId="1" xfId="0" applyFont="1" applyBorder="1" applyAlignment="1" applyProtection="1">
      <alignment shrinkToFit="1"/>
      <protection hidden="1"/>
    </xf>
    <xf numFmtId="0" fontId="35" fillId="0" borderId="1" xfId="0" applyFont="1" applyBorder="1" applyAlignment="1" applyProtection="1">
      <alignment shrinkToFit="1"/>
      <protection hidden="1"/>
    </xf>
    <xf numFmtId="0" fontId="29" fillId="0" borderId="1" xfId="0" applyFont="1" applyBorder="1" applyAlignment="1" applyProtection="1">
      <alignment horizontal="left" shrinkToFit="1"/>
      <protection hidden="1"/>
    </xf>
    <xf numFmtId="0" fontId="29" fillId="0" borderId="0" xfId="0" applyFont="1" applyAlignment="1" applyProtection="1">
      <alignment horizontal="left" shrinkToFit="1"/>
      <protection hidden="1"/>
    </xf>
    <xf numFmtId="0" fontId="29" fillId="0" borderId="0" xfId="0" applyFont="1" applyAlignment="1" applyProtection="1">
      <alignment shrinkToFit="1"/>
      <protection hidden="1"/>
    </xf>
    <xf numFmtId="0" fontId="35" fillId="0" borderId="0" xfId="0" applyFont="1" applyAlignment="1" applyProtection="1">
      <alignment shrinkToFit="1"/>
      <protection hidden="1"/>
    </xf>
    <xf numFmtId="0" fontId="21" fillId="0" borderId="6" xfId="0" applyFont="1" applyBorder="1" applyAlignment="1" applyProtection="1">
      <alignment horizontal="center" vertical="center" shrinkToFit="1"/>
      <protection locked="0" hidden="1"/>
    </xf>
    <xf numFmtId="166" fontId="22" fillId="0" borderId="0" xfId="0" applyNumberFormat="1" applyFont="1" applyAlignment="1" applyProtection="1">
      <alignment vertical="top" wrapText="1"/>
      <protection hidden="1"/>
    </xf>
    <xf numFmtId="0" fontId="21" fillId="0" borderId="0" xfId="0" applyFont="1" applyAlignment="1" applyProtection="1">
      <alignment horizontal="center" vertical="top" wrapText="1"/>
      <protection hidden="1"/>
    </xf>
    <xf numFmtId="0" fontId="21" fillId="0" borderId="0" xfId="0" applyFont="1" applyAlignment="1" applyProtection="1">
      <alignment horizontal="right" vertical="center" wrapText="1"/>
      <protection hidden="1"/>
    </xf>
    <xf numFmtId="0" fontId="21" fillId="0" borderId="0" xfId="0" applyFont="1" applyAlignment="1" applyProtection="1">
      <alignment horizontal="right" vertical="top" wrapText="1"/>
      <protection hidden="1"/>
    </xf>
    <xf numFmtId="0" fontId="29" fillId="0" borderId="0" xfId="0" applyFont="1" applyAlignment="1" applyProtection="1">
      <alignment horizontal="center" vertical="top" wrapText="1"/>
      <protection hidden="1"/>
    </xf>
    <xf numFmtId="0" fontId="29" fillId="0" borderId="0" xfId="0" applyFont="1" applyAlignment="1" applyProtection="1">
      <alignment vertical="top" wrapText="1"/>
      <protection hidden="1"/>
    </xf>
    <xf numFmtId="0" fontId="29" fillId="0" borderId="0" xfId="0" applyFont="1" applyAlignment="1" applyProtection="1">
      <alignment wrapText="1"/>
      <protection hidden="1"/>
    </xf>
    <xf numFmtId="0" fontId="43" fillId="0" borderId="0" xfId="0" applyFont="1" applyAlignment="1" applyProtection="1">
      <alignment wrapText="1"/>
      <protection hidden="1"/>
    </xf>
    <xf numFmtId="0" fontId="29" fillId="0" borderId="0" xfId="0" applyFont="1" applyAlignment="1" applyProtection="1">
      <alignment horizontal="left" wrapText="1"/>
      <protection hidden="1"/>
    </xf>
    <xf numFmtId="0" fontId="28" fillId="0" borderId="0" xfId="0" applyFont="1" applyAlignment="1" applyProtection="1">
      <alignment horizontal="center" vertical="center"/>
      <protection hidden="1"/>
    </xf>
    <xf numFmtId="0" fontId="45" fillId="0" borderId="0" xfId="0" applyFont="1" applyAlignment="1" applyProtection="1">
      <alignment horizontal="center" vertical="center"/>
      <protection hidden="1"/>
    </xf>
    <xf numFmtId="0" fontId="29" fillId="0" borderId="0" xfId="0" applyFont="1" applyAlignment="1" applyProtection="1">
      <alignment vertical="center" shrinkToFit="1"/>
      <protection hidden="1"/>
    </xf>
    <xf numFmtId="0" fontId="23" fillId="0" borderId="0" xfId="0" applyFont="1" applyAlignment="1" applyProtection="1">
      <alignment shrinkToFit="1"/>
      <protection hidden="1"/>
    </xf>
    <xf numFmtId="0" fontId="24" fillId="0" borderId="23" xfId="0" applyFont="1" applyBorder="1" applyAlignment="1" applyProtection="1">
      <alignment horizontal="center" vertical="center" wrapText="1"/>
      <protection hidden="1"/>
    </xf>
    <xf numFmtId="0" fontId="21" fillId="0" borderId="53" xfId="0" applyFont="1" applyBorder="1" applyAlignment="1" applyProtection="1">
      <alignment horizontal="center" vertical="center" wrapText="1"/>
      <protection hidden="1"/>
    </xf>
    <xf numFmtId="0" fontId="42" fillId="0" borderId="53" xfId="0" applyFont="1" applyBorder="1" applyAlignment="1" applyProtection="1">
      <alignment horizontal="center" vertical="center"/>
      <protection hidden="1"/>
    </xf>
    <xf numFmtId="0" fontId="42" fillId="0" borderId="53" xfId="0" applyFont="1" applyBorder="1" applyAlignment="1" applyProtection="1">
      <alignment horizontal="center" vertical="center" wrapText="1"/>
      <protection hidden="1"/>
    </xf>
    <xf numFmtId="0" fontId="24" fillId="0" borderId="58" xfId="0" applyFont="1" applyBorder="1" applyAlignment="1" applyProtection="1">
      <alignment horizontal="center" vertical="center" wrapText="1"/>
      <protection hidden="1"/>
    </xf>
    <xf numFmtId="0" fontId="21" fillId="0" borderId="58" xfId="0" applyFont="1" applyBorder="1" applyAlignment="1" applyProtection="1">
      <alignment vertical="center" shrinkToFit="1"/>
      <protection hidden="1"/>
    </xf>
    <xf numFmtId="0" fontId="24" fillId="0" borderId="54" xfId="0" applyFont="1" applyBorder="1" applyAlignment="1" applyProtection="1">
      <alignment horizontal="center" vertical="center" wrapText="1"/>
      <protection hidden="1"/>
    </xf>
    <xf numFmtId="0" fontId="21" fillId="0" borderId="54" xfId="0" applyFont="1" applyBorder="1" applyAlignment="1" applyProtection="1">
      <alignment vertical="center" shrinkToFit="1"/>
      <protection hidden="1"/>
    </xf>
    <xf numFmtId="0" fontId="24" fillId="0" borderId="18" xfId="0" applyFont="1" applyBorder="1" applyAlignment="1" applyProtection="1">
      <alignment horizontal="center" vertical="center" wrapText="1"/>
      <protection hidden="1"/>
    </xf>
    <xf numFmtId="0" fontId="21" fillId="0" borderId="18" xfId="0" applyFont="1" applyBorder="1" applyAlignment="1" applyProtection="1">
      <alignment vertical="center" shrinkToFit="1"/>
      <protection hidden="1"/>
    </xf>
    <xf numFmtId="165" fontId="28" fillId="0" borderId="23" xfId="0" applyNumberFormat="1" applyFont="1" applyBorder="1" applyAlignment="1" applyProtection="1">
      <alignment horizontal="center" vertical="center" shrinkToFit="1"/>
      <protection hidden="1"/>
    </xf>
    <xf numFmtId="0" fontId="28" fillId="0" borderId="23" xfId="0" applyFont="1" applyBorder="1" applyAlignment="1" applyProtection="1">
      <alignment horizontal="center" vertical="center"/>
      <protection hidden="1"/>
    </xf>
    <xf numFmtId="0" fontId="28" fillId="0" borderId="23" xfId="0" applyFont="1" applyBorder="1" applyAlignment="1" applyProtection="1">
      <alignment horizontal="center" vertical="center" shrinkToFit="1"/>
      <protection hidden="1"/>
    </xf>
    <xf numFmtId="0" fontId="44" fillId="0" borderId="23" xfId="0" applyFont="1" applyBorder="1" applyAlignment="1" applyProtection="1">
      <alignment horizontal="center" vertical="center"/>
      <protection hidden="1"/>
    </xf>
    <xf numFmtId="0" fontId="24" fillId="0" borderId="48" xfId="0" applyFont="1" applyBorder="1" applyAlignment="1" applyProtection="1">
      <alignment horizontal="center" vertical="center" wrapText="1"/>
      <protection hidden="1"/>
    </xf>
    <xf numFmtId="0" fontId="24" fillId="0" borderId="59" xfId="0" applyFont="1" applyBorder="1" applyAlignment="1" applyProtection="1">
      <alignment horizontal="center" vertical="center" wrapText="1"/>
      <protection hidden="1"/>
    </xf>
    <xf numFmtId="0" fontId="21" fillId="0" borderId="59" xfId="0" applyFont="1" applyBorder="1" applyAlignment="1" applyProtection="1">
      <alignment vertical="center" shrinkToFit="1"/>
      <protection hidden="1"/>
    </xf>
    <xf numFmtId="0" fontId="0" fillId="0" borderId="1" xfId="0" applyBorder="1" applyAlignment="1" applyProtection="1">
      <alignment shrinkToFit="1"/>
      <protection hidden="1"/>
    </xf>
    <xf numFmtId="0" fontId="34" fillId="0" borderId="0" xfId="0" applyFont="1" applyAlignment="1" applyProtection="1">
      <alignment horizontal="left" vertical="top" wrapText="1"/>
      <protection hidden="1"/>
    </xf>
    <xf numFmtId="0" fontId="46" fillId="0" borderId="0" xfId="0" applyFont="1" applyAlignment="1" applyProtection="1">
      <alignment horizontal="center" vertical="top" wrapText="1"/>
      <protection hidden="1"/>
    </xf>
    <xf numFmtId="0" fontId="10" fillId="0" borderId="0" xfId="0" applyFont="1" applyAlignment="1" applyProtection="1">
      <alignment vertical="center" shrinkToFit="1"/>
      <protection hidden="1"/>
    </xf>
    <xf numFmtId="0" fontId="34" fillId="0" borderId="4" xfId="0" applyFont="1" applyBorder="1" applyAlignment="1" applyProtection="1">
      <alignment horizontal="center" vertical="center" wrapText="1"/>
      <protection hidden="1"/>
    </xf>
    <xf numFmtId="0" fontId="34" fillId="0" borderId="5" xfId="0" applyFont="1" applyBorder="1" applyAlignment="1" applyProtection="1">
      <alignment horizontal="center" vertical="center" wrapText="1"/>
      <protection hidden="1"/>
    </xf>
    <xf numFmtId="0" fontId="34" fillId="0" borderId="11" xfId="0" applyFont="1" applyBorder="1" applyAlignment="1" applyProtection="1">
      <alignment horizontal="center" vertical="center" wrapText="1"/>
      <protection hidden="1"/>
    </xf>
    <xf numFmtId="0" fontId="34" fillId="0" borderId="0" xfId="0" applyFont="1" applyAlignment="1" applyProtection="1">
      <alignment horizontal="center" vertical="center" wrapText="1"/>
      <protection hidden="1"/>
    </xf>
    <xf numFmtId="0" fontId="34" fillId="0" borderId="0" xfId="0" applyFont="1" applyAlignment="1" applyProtection="1">
      <alignment horizontal="center" vertical="top" wrapText="1"/>
      <protection hidden="1"/>
    </xf>
    <xf numFmtId="0" fontId="34" fillId="0" borderId="0" xfId="0" applyFont="1" applyAlignment="1" applyProtection="1">
      <alignment vertical="top" wrapText="1"/>
      <protection hidden="1"/>
    </xf>
    <xf numFmtId="0" fontId="34" fillId="0" borderId="9" xfId="0" applyFont="1" applyBorder="1" applyAlignment="1" applyProtection="1">
      <alignment vertical="top" wrapText="1"/>
      <protection hidden="1"/>
    </xf>
    <xf numFmtId="0" fontId="34" fillId="0" borderId="3" xfId="0" applyFont="1" applyBorder="1" applyAlignment="1" applyProtection="1">
      <alignment vertical="top" wrapText="1"/>
      <protection hidden="1"/>
    </xf>
    <xf numFmtId="0" fontId="34" fillId="0" borderId="10" xfId="0" applyFont="1" applyBorder="1" applyAlignment="1" applyProtection="1">
      <alignment vertical="top" wrapText="1"/>
      <protection hidden="1"/>
    </xf>
    <xf numFmtId="0" fontId="2" fillId="0" borderId="1" xfId="0" applyFont="1" applyBorder="1" applyAlignment="1" applyProtection="1">
      <alignment shrinkToFit="1"/>
      <protection hidden="1"/>
    </xf>
    <xf numFmtId="14" fontId="7" fillId="0" borderId="0" xfId="0" applyNumberFormat="1" applyFont="1" applyAlignment="1" applyProtection="1">
      <alignment horizontal="right" vertical="center" wrapText="1"/>
      <protection hidden="1"/>
    </xf>
    <xf numFmtId="14" fontId="7" fillId="0" borderId="0" xfId="0" applyNumberFormat="1" applyFont="1" applyAlignment="1" applyProtection="1">
      <alignment horizontal="left" vertical="center" wrapText="1"/>
      <protection hidden="1"/>
    </xf>
    <xf numFmtId="0" fontId="37" fillId="0" borderId="0" xfId="0" applyFont="1" applyAlignment="1" applyProtection="1">
      <alignment horizontal="right" vertical="center" wrapText="1"/>
      <protection hidden="1"/>
    </xf>
    <xf numFmtId="1" fontId="37" fillId="0" borderId="0" xfId="0" applyNumberFormat="1" applyFont="1" applyAlignment="1" applyProtection="1">
      <alignment horizontal="center" vertical="center" shrinkToFit="1"/>
      <protection hidden="1"/>
    </xf>
    <xf numFmtId="49" fontId="37" fillId="0" borderId="0" xfId="0" applyNumberFormat="1" applyFont="1" applyAlignment="1" applyProtection="1">
      <alignment horizontal="left" vertical="center" wrapText="1"/>
      <protection hidden="1"/>
    </xf>
    <xf numFmtId="0" fontId="9" fillId="0" borderId="0" xfId="0" applyFont="1" applyAlignment="1">
      <alignment vertical="center" shrinkToFit="1"/>
    </xf>
    <xf numFmtId="0" fontId="7" fillId="0" borderId="0" xfId="0" applyFont="1" applyAlignment="1">
      <alignment shrinkToFit="1"/>
    </xf>
    <xf numFmtId="0" fontId="47" fillId="0" borderId="0" xfId="0" applyFont="1" applyAlignment="1">
      <alignment vertical="center" shrinkToFit="1"/>
    </xf>
    <xf numFmtId="0" fontId="9" fillId="0" borderId="0" xfId="0" applyFont="1" applyAlignment="1">
      <alignment horizontal="center" vertical="center" shrinkToFit="1"/>
    </xf>
    <xf numFmtId="0" fontId="47" fillId="0" borderId="61" xfId="0" applyFont="1" applyBorder="1" applyAlignment="1">
      <alignment horizontal="center" vertical="center" shrinkToFit="1"/>
    </xf>
    <xf numFmtId="0" fontId="9" fillId="0" borderId="26" xfId="0" applyFont="1" applyBorder="1" applyAlignment="1">
      <alignment vertical="center" shrinkToFit="1"/>
    </xf>
    <xf numFmtId="0" fontId="47" fillId="0" borderId="40" xfId="0" applyFont="1" applyBorder="1" applyAlignment="1">
      <alignment horizontal="center" vertical="center" shrinkToFit="1"/>
    </xf>
    <xf numFmtId="0" fontId="9" fillId="0" borderId="63" xfId="0" applyFont="1" applyBorder="1" applyAlignment="1">
      <alignment vertical="center" shrinkToFit="1"/>
    </xf>
    <xf numFmtId="0" fontId="9" fillId="0" borderId="60" xfId="0" applyFont="1" applyBorder="1" applyAlignment="1">
      <alignment vertical="center" shrinkToFit="1"/>
    </xf>
    <xf numFmtId="0" fontId="47" fillId="0" borderId="10" xfId="0" applyFont="1" applyBorder="1" applyAlignment="1">
      <alignment horizontal="center" vertical="center" shrinkToFit="1"/>
    </xf>
    <xf numFmtId="0" fontId="9" fillId="0" borderId="64" xfId="0" applyFont="1" applyBorder="1" applyAlignment="1">
      <alignment vertical="center" shrinkToFit="1"/>
    </xf>
    <xf numFmtId="0" fontId="9" fillId="0" borderId="5" xfId="0" applyFont="1" applyBorder="1" applyAlignment="1">
      <alignment vertical="center" shrinkToFit="1"/>
    </xf>
    <xf numFmtId="0" fontId="47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7" fillId="0" borderId="0" xfId="0" applyFont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7" fillId="0" borderId="1" xfId="0" applyFont="1" applyBorder="1" applyAlignment="1">
      <alignment vertical="center" shrinkToFit="1"/>
    </xf>
    <xf numFmtId="0" fontId="7" fillId="0" borderId="1" xfId="0" applyFont="1" applyBorder="1" applyAlignment="1">
      <alignment horizontal="center" vertical="center" shrinkToFit="1"/>
    </xf>
    <xf numFmtId="0" fontId="2" fillId="0" borderId="0" xfId="0" applyFont="1" applyAlignment="1">
      <alignment horizontal="right" shrinkToFit="1"/>
    </xf>
    <xf numFmtId="0" fontId="2" fillId="0" borderId="0" xfId="0" applyFont="1" applyAlignment="1">
      <alignment horizontal="right" vertical="center" shrinkToFit="1"/>
    </xf>
    <xf numFmtId="0" fontId="8" fillId="0" borderId="0" xfId="0" applyFont="1" applyAlignment="1">
      <alignment vertical="center" shrinkToFit="1"/>
    </xf>
    <xf numFmtId="0" fontId="8" fillId="0" borderId="0" xfId="0" applyFont="1" applyAlignment="1">
      <alignment horizontal="center" vertical="center" shrinkToFit="1"/>
    </xf>
    <xf numFmtId="0" fontId="48" fillId="0" borderId="65" xfId="0" applyFont="1" applyBorder="1" applyAlignment="1">
      <alignment horizontal="center" vertical="center" shrinkToFit="1"/>
    </xf>
    <xf numFmtId="0" fontId="49" fillId="0" borderId="62" xfId="0" applyFont="1" applyBorder="1" applyAlignment="1">
      <alignment horizontal="center" vertical="center" shrinkToFit="1"/>
    </xf>
    <xf numFmtId="0" fontId="49" fillId="0" borderId="42" xfId="0" applyFont="1" applyBorder="1" applyAlignment="1">
      <alignment horizontal="center" vertical="center" shrinkToFit="1"/>
    </xf>
    <xf numFmtId="0" fontId="49" fillId="0" borderId="11" xfId="0" applyFont="1" applyBorder="1" applyAlignment="1">
      <alignment horizontal="center" vertical="center" shrinkToFit="1"/>
    </xf>
    <xf numFmtId="0" fontId="10" fillId="0" borderId="0" xfId="0" applyFont="1" applyAlignment="1">
      <alignment vertical="center" shrinkToFit="1"/>
    </xf>
    <xf numFmtId="0" fontId="48" fillId="0" borderId="0" xfId="0" applyFont="1" applyAlignment="1">
      <alignment horizontal="center" vertical="center" shrinkToFit="1"/>
    </xf>
    <xf numFmtId="0" fontId="49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8" fillId="0" borderId="26" xfId="0" applyFont="1" applyBorder="1" applyAlignment="1">
      <alignment vertical="center" shrinkToFit="1"/>
    </xf>
    <xf numFmtId="0" fontId="8" fillId="0" borderId="63" xfId="0" applyFont="1" applyBorder="1" applyAlignment="1">
      <alignment vertical="center" shrinkToFit="1"/>
    </xf>
    <xf numFmtId="0" fontId="8" fillId="0" borderId="60" xfId="0" applyFont="1" applyBorder="1" applyAlignment="1">
      <alignment vertical="center" shrinkToFit="1"/>
    </xf>
    <xf numFmtId="0" fontId="8" fillId="0" borderId="64" xfId="0" applyFont="1" applyBorder="1" applyAlignment="1">
      <alignment vertical="center" shrinkToFit="1"/>
    </xf>
    <xf numFmtId="0" fontId="2" fillId="0" borderId="1" xfId="0" applyFont="1" applyBorder="1" applyAlignment="1">
      <alignment vertical="center" shrinkToFit="1"/>
    </xf>
    <xf numFmtId="0" fontId="50" fillId="0" borderId="65" xfId="0" applyFont="1" applyBorder="1" applyAlignment="1">
      <alignment horizontal="center" vertical="center" shrinkToFit="1"/>
    </xf>
    <xf numFmtId="0" fontId="51" fillId="0" borderId="62" xfId="0" applyFont="1" applyBorder="1" applyAlignment="1">
      <alignment horizontal="center" vertical="center" shrinkToFit="1"/>
    </xf>
    <xf numFmtId="0" fontId="51" fillId="0" borderId="42" xfId="0" applyFont="1" applyBorder="1" applyAlignment="1">
      <alignment horizontal="center" vertical="center" shrinkToFit="1"/>
    </xf>
    <xf numFmtId="0" fontId="51" fillId="0" borderId="11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14" fontId="8" fillId="0" borderId="0" xfId="0" applyNumberFormat="1" applyFont="1" applyAlignment="1">
      <alignment vertical="center" shrinkToFit="1"/>
    </xf>
    <xf numFmtId="0" fontId="15" fillId="0" borderId="0" xfId="0" applyFont="1" applyAlignment="1">
      <alignment vertical="center" shrinkToFit="1"/>
    </xf>
    <xf numFmtId="0" fontId="16" fillId="0" borderId="0" xfId="0" applyFont="1" applyAlignment="1">
      <alignment vertical="center" shrinkToFit="1"/>
    </xf>
    <xf numFmtId="14" fontId="2" fillId="0" borderId="0" xfId="0" applyNumberFormat="1" applyFont="1" applyAlignment="1">
      <alignment horizontal="left" vertical="center" shrinkToFit="1"/>
    </xf>
    <xf numFmtId="0" fontId="3" fillId="0" borderId="0" xfId="0" applyFont="1" applyAlignment="1">
      <alignment vertical="center" shrinkToFit="1"/>
    </xf>
    <xf numFmtId="0" fontId="52" fillId="0" borderId="0" xfId="0" applyFont="1" applyAlignment="1">
      <alignment vertical="center" shrinkToFit="1"/>
    </xf>
    <xf numFmtId="0" fontId="47" fillId="0" borderId="67" xfId="0" applyFont="1" applyBorder="1" applyAlignment="1">
      <alignment horizontal="center" vertical="center" shrinkToFit="1"/>
    </xf>
    <xf numFmtId="0" fontId="47" fillId="0" borderId="20" xfId="0" applyFont="1" applyBorder="1" applyAlignment="1">
      <alignment horizontal="center" vertical="center" shrinkToFit="1"/>
    </xf>
    <xf numFmtId="0" fontId="47" fillId="0" borderId="1" xfId="0" applyFont="1" applyBorder="1" applyAlignment="1">
      <alignment horizontal="center" vertical="center" shrinkToFit="1"/>
    </xf>
    <xf numFmtId="0" fontId="9" fillId="0" borderId="3" xfId="0" applyFont="1" applyBorder="1" applyAlignment="1">
      <alignment vertical="center" shrinkToFit="1"/>
    </xf>
    <xf numFmtId="0" fontId="49" fillId="0" borderId="74" xfId="0" applyFont="1" applyBorder="1" applyAlignment="1">
      <alignment horizontal="center" vertical="center" shrinkToFit="1"/>
    </xf>
    <xf numFmtId="0" fontId="49" fillId="0" borderId="75" xfId="0" applyFont="1" applyBorder="1" applyAlignment="1">
      <alignment horizontal="center" vertical="center" shrinkToFit="1"/>
    </xf>
    <xf numFmtId="0" fontId="49" fillId="0" borderId="76" xfId="0" applyFont="1" applyBorder="1" applyAlignment="1">
      <alignment horizontal="center" vertical="center" shrinkToFit="1"/>
    </xf>
    <xf numFmtId="2" fontId="29" fillId="0" borderId="45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46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47" xfId="0" applyNumberFormat="1" applyFont="1" applyBorder="1" applyAlignment="1" applyProtection="1">
      <alignment horizontal="center" vertical="center" shrinkToFit="1"/>
      <protection locked="0" hidden="1"/>
    </xf>
    <xf numFmtId="167" fontId="29" fillId="0" borderId="29" xfId="0" applyNumberFormat="1" applyFont="1" applyBorder="1" applyAlignment="1" applyProtection="1">
      <alignment horizontal="center" vertical="center" shrinkToFit="1"/>
      <protection hidden="1"/>
    </xf>
    <xf numFmtId="2" fontId="29" fillId="0" borderId="43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14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44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49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16" xfId="0" applyNumberFormat="1" applyFont="1" applyBorder="1" applyAlignment="1" applyProtection="1">
      <alignment horizontal="center" vertical="center" shrinkToFit="1"/>
      <protection locked="0" hidden="1"/>
    </xf>
    <xf numFmtId="2" fontId="29" fillId="0" borderId="50" xfId="0" applyNumberFormat="1" applyFont="1" applyBorder="1" applyAlignment="1" applyProtection="1">
      <alignment horizontal="center" vertical="center" shrinkToFit="1"/>
      <protection locked="0" hidden="1"/>
    </xf>
    <xf numFmtId="49" fontId="25" fillId="0" borderId="40" xfId="0" applyNumberFormat="1" applyFont="1" applyBorder="1" applyAlignment="1" applyProtection="1">
      <alignment vertical="center" wrapText="1" shrinkToFit="1"/>
      <protection hidden="1"/>
    </xf>
    <xf numFmtId="2" fontId="29" fillId="0" borderId="77" xfId="0" applyNumberFormat="1" applyFont="1" applyBorder="1" applyAlignment="1" applyProtection="1">
      <alignment horizontal="center" vertical="center" shrinkToFit="1"/>
      <protection hidden="1"/>
    </xf>
    <xf numFmtId="167" fontId="29" fillId="0" borderId="19" xfId="0" applyNumberFormat="1" applyFont="1" applyBorder="1" applyAlignment="1" applyProtection="1">
      <alignment horizontal="center" vertical="center" shrinkToFit="1"/>
      <protection hidden="1"/>
    </xf>
    <xf numFmtId="167" fontId="29" fillId="0" borderId="77" xfId="0" applyNumberFormat="1" applyFont="1" applyBorder="1" applyAlignment="1" applyProtection="1">
      <alignment horizontal="center" vertical="center" shrinkToFit="1"/>
      <protection hidden="1"/>
    </xf>
    <xf numFmtId="49" fontId="41" fillId="0" borderId="48" xfId="0" applyNumberFormat="1" applyFont="1" applyBorder="1" applyAlignment="1" applyProtection="1">
      <alignment horizontal="center" vertical="center" shrinkToFit="1"/>
      <protection locked="0" hidden="1"/>
    </xf>
    <xf numFmtId="49" fontId="41" fillId="0" borderId="18" xfId="0" applyNumberFormat="1" applyFont="1" applyBorder="1" applyAlignment="1" applyProtection="1">
      <alignment horizontal="center" vertical="center" shrinkToFit="1"/>
      <protection locked="0" hidden="1"/>
    </xf>
    <xf numFmtId="49" fontId="41" fillId="0" borderId="19" xfId="0" applyNumberFormat="1" applyFont="1" applyBorder="1" applyAlignment="1" applyProtection="1">
      <alignment horizontal="center" vertical="center" shrinkToFit="1"/>
      <protection locked="0" hidden="1"/>
    </xf>
    <xf numFmtId="49" fontId="0" fillId="0" borderId="2" xfId="0" applyNumberFormat="1" applyBorder="1" applyAlignment="1" applyProtection="1">
      <alignment horizontal="center" shrinkToFit="1"/>
      <protection locked="0" hidden="1"/>
    </xf>
    <xf numFmtId="49" fontId="0" fillId="0" borderId="22" xfId="0" applyNumberFormat="1" applyBorder="1" applyAlignment="1" applyProtection="1">
      <alignment horizontal="center" shrinkToFit="1"/>
      <protection locked="0" hidden="1"/>
    </xf>
    <xf numFmtId="49" fontId="0" fillId="0" borderId="0" xfId="0" applyNumberFormat="1" applyAlignment="1" applyProtection="1">
      <alignment horizontal="center"/>
      <protection locked="0"/>
    </xf>
    <xf numFmtId="0" fontId="12" fillId="0" borderId="22" xfId="0" applyFont="1" applyBorder="1" applyAlignment="1" applyProtection="1">
      <alignment horizontal="center" vertical="center" wrapText="1"/>
      <protection locked="0" hidden="1"/>
    </xf>
    <xf numFmtId="0" fontId="7" fillId="0" borderId="2" xfId="0" applyFont="1" applyBorder="1" applyAlignment="1" applyProtection="1">
      <alignment horizontal="center" shrinkToFit="1"/>
      <protection locked="0" hidden="1"/>
    </xf>
    <xf numFmtId="0" fontId="7" fillId="0" borderId="23" xfId="0" applyFont="1" applyBorder="1" applyAlignment="1" applyProtection="1">
      <alignment horizontal="center" shrinkToFit="1"/>
      <protection locked="0" hidden="1"/>
    </xf>
    <xf numFmtId="0" fontId="35" fillId="0" borderId="2" xfId="0" applyFont="1" applyBorder="1" applyAlignment="1" applyProtection="1">
      <alignment horizontal="center" shrinkToFit="1"/>
      <protection locked="0" hidden="1"/>
    </xf>
    <xf numFmtId="0" fontId="53" fillId="0" borderId="2" xfId="0" applyFont="1" applyBorder="1" applyAlignment="1">
      <alignment vertical="center" shrinkToFit="1"/>
    </xf>
    <xf numFmtId="168" fontId="53" fillId="0" borderId="2" xfId="0" applyNumberFormat="1" applyFont="1" applyBorder="1" applyAlignment="1" applyProtection="1">
      <alignment horizontal="center" vertical="center" shrinkToFit="1"/>
      <protection locked="0" hidden="1"/>
    </xf>
    <xf numFmtId="0" fontId="53" fillId="0" borderId="2" xfId="0" applyFont="1" applyBorder="1" applyAlignment="1">
      <alignment horizontal="center" vertical="center" shrinkToFit="1"/>
    </xf>
    <xf numFmtId="2" fontId="7" fillId="0" borderId="2" xfId="0" applyNumberFormat="1" applyFont="1" applyBorder="1" applyAlignment="1" applyProtection="1">
      <alignment horizontal="center" shrinkToFit="1"/>
      <protection locked="0" hidden="1"/>
    </xf>
    <xf numFmtId="0" fontId="7" fillId="0" borderId="2" xfId="0" applyFont="1" applyBorder="1" applyAlignment="1" applyProtection="1">
      <alignment horizontal="center" vertical="center" shrinkToFit="1"/>
      <protection locked="0" hidden="1"/>
    </xf>
    <xf numFmtId="0" fontId="35" fillId="0" borderId="23" xfId="0" applyFont="1" applyBorder="1" applyAlignment="1" applyProtection="1">
      <alignment horizontal="center" shrinkToFit="1"/>
      <protection locked="0" hidden="1"/>
    </xf>
    <xf numFmtId="0" fontId="7" fillId="2" borderId="2" xfId="0" applyFont="1" applyFill="1" applyBorder="1" applyAlignment="1">
      <alignment vertical="center" shrinkToFit="1"/>
    </xf>
    <xf numFmtId="0" fontId="7" fillId="2" borderId="2" xfId="0" applyFont="1" applyFill="1" applyBorder="1" applyAlignment="1">
      <alignment horizontal="left" vertical="center" shrinkToFit="1"/>
    </xf>
    <xf numFmtId="168" fontId="7" fillId="2" borderId="2" xfId="0" applyNumberFormat="1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54" fillId="0" borderId="2" xfId="0" applyFont="1" applyBorder="1" applyAlignment="1">
      <alignment horizontal="center" vertical="center" shrinkToFit="1"/>
    </xf>
    <xf numFmtId="0" fontId="2" fillId="0" borderId="2" xfId="0" applyFont="1" applyBorder="1" applyAlignment="1" applyProtection="1">
      <alignment horizontal="center" vertical="top" shrinkToFit="1"/>
      <protection locked="0" hidden="1"/>
    </xf>
    <xf numFmtId="0" fontId="2" fillId="0" borderId="2" xfId="0" applyFont="1" applyBorder="1" applyAlignment="1" applyProtection="1">
      <alignment horizontal="center" shrinkToFit="1"/>
      <protection locked="0" hidden="1"/>
    </xf>
    <xf numFmtId="49" fontId="2" fillId="0" borderId="2" xfId="0" applyNumberFormat="1" applyFont="1" applyBorder="1" applyAlignment="1" applyProtection="1">
      <alignment horizontal="center" shrinkToFit="1"/>
      <protection locked="0" hidden="1"/>
    </xf>
    <xf numFmtId="0" fontId="3" fillId="0" borderId="2" xfId="0" applyFont="1" applyBorder="1" applyAlignment="1" applyProtection="1">
      <alignment horizontal="center" vertical="top" shrinkToFit="1"/>
      <protection locked="0" hidden="1"/>
    </xf>
    <xf numFmtId="0" fontId="53" fillId="0" borderId="23" xfId="0" applyFont="1" applyBorder="1" applyAlignment="1">
      <alignment horizontal="center" vertical="center" shrinkToFit="1"/>
    </xf>
    <xf numFmtId="2" fontId="7" fillId="0" borderId="23" xfId="0" applyNumberFormat="1" applyFont="1" applyBorder="1" applyAlignment="1" applyProtection="1">
      <alignment horizontal="center" shrinkToFit="1"/>
      <protection locked="0" hidden="1"/>
    </xf>
    <xf numFmtId="0" fontId="2" fillId="0" borderId="23" xfId="0" applyFont="1" applyBorder="1" applyAlignment="1" applyProtection="1">
      <alignment horizontal="center" shrinkToFit="1"/>
      <protection locked="0" hidden="1"/>
    </xf>
    <xf numFmtId="0" fontId="10" fillId="0" borderId="22" xfId="0" applyFont="1" applyBorder="1" applyAlignment="1" applyProtection="1">
      <alignment horizontal="center" vertical="center" wrapText="1"/>
      <protection locked="0" hidden="1"/>
    </xf>
    <xf numFmtId="0" fontId="7" fillId="0" borderId="23" xfId="0" applyFont="1" applyBorder="1" applyAlignment="1" applyProtection="1">
      <alignment horizontal="center" vertical="center" shrinkToFit="1"/>
      <protection locked="0" hidden="1"/>
    </xf>
    <xf numFmtId="0" fontId="2" fillId="0" borderId="23" xfId="0" applyFont="1" applyBorder="1" applyAlignment="1" applyProtection="1">
      <alignment horizontal="center" vertical="top" shrinkToFit="1"/>
      <protection locked="0" hidden="1"/>
    </xf>
    <xf numFmtId="0" fontId="3" fillId="0" borderId="23" xfId="0" applyFont="1" applyBorder="1" applyAlignment="1" applyProtection="1">
      <alignment horizontal="center" vertical="top" shrinkToFit="1"/>
      <protection locked="0" hidden="1"/>
    </xf>
    <xf numFmtId="49" fontId="2" fillId="0" borderId="23" xfId="0" applyNumberFormat="1" applyFont="1" applyBorder="1" applyAlignment="1" applyProtection="1">
      <alignment horizontal="center" shrinkToFit="1"/>
      <protection locked="0" hidden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53" fillId="0" borderId="23" xfId="0" applyFont="1" applyBorder="1" applyAlignment="1">
      <alignment vertical="center" shrinkToFit="1"/>
    </xf>
    <xf numFmtId="168" fontId="53" fillId="0" borderId="23" xfId="0" applyNumberFormat="1" applyFont="1" applyBorder="1" applyAlignment="1" applyProtection="1">
      <alignment horizontal="center" vertical="center" shrinkToFit="1"/>
      <protection locked="0" hidden="1"/>
    </xf>
    <xf numFmtId="49" fontId="2" fillId="0" borderId="2" xfId="0" applyNumberFormat="1" applyFont="1" applyBorder="1" applyAlignment="1">
      <alignment horizontal="center" vertical="center"/>
    </xf>
    <xf numFmtId="0" fontId="9" fillId="0" borderId="0" xfId="0" applyFont="1" applyAlignment="1" applyProtection="1">
      <alignment horizontal="right" wrapText="1"/>
      <protection locked="0"/>
    </xf>
    <xf numFmtId="0" fontId="1" fillId="0" borderId="0" xfId="0" applyFont="1" applyAlignment="1" applyProtection="1">
      <alignment horizontal="center"/>
      <protection locked="0" hidden="1"/>
    </xf>
    <xf numFmtId="0" fontId="15" fillId="0" borderId="0" xfId="0" applyFont="1" applyAlignment="1" applyProtection="1">
      <alignment horizontal="center" wrapText="1"/>
      <protection locked="0" hidden="1"/>
    </xf>
    <xf numFmtId="14" fontId="16" fillId="0" borderId="8" xfId="0" applyNumberFormat="1" applyFont="1" applyBorder="1" applyAlignment="1" applyProtection="1">
      <alignment horizontal="center" vertical="top"/>
      <protection locked="0" hidden="1"/>
    </xf>
    <xf numFmtId="0" fontId="2" fillId="0" borderId="0" xfId="0" applyFont="1" applyAlignment="1" applyProtection="1">
      <alignment horizontal="center" wrapText="1"/>
      <protection locked="0" hidden="1"/>
    </xf>
    <xf numFmtId="0" fontId="2" fillId="0" borderId="1" xfId="0" applyFont="1" applyBorder="1" applyAlignment="1" applyProtection="1">
      <alignment horizontal="left" shrinkToFit="1"/>
      <protection locked="0" hidden="1"/>
    </xf>
    <xf numFmtId="0" fontId="2" fillId="0" borderId="1" xfId="0" applyFont="1" applyBorder="1" applyAlignment="1" applyProtection="1">
      <alignment horizontal="center" shrinkToFit="1"/>
      <protection locked="0" hidden="1"/>
    </xf>
    <xf numFmtId="0" fontId="3" fillId="0" borderId="8" xfId="0" applyFont="1" applyBorder="1" applyAlignment="1" applyProtection="1">
      <alignment horizontal="center" vertical="top" shrinkToFit="1"/>
      <protection locked="0" hidden="1"/>
    </xf>
    <xf numFmtId="0" fontId="16" fillId="0" borderId="8" xfId="0" applyFont="1" applyBorder="1" applyAlignment="1" applyProtection="1">
      <alignment horizontal="center" vertical="top"/>
      <protection locked="0" hidden="1"/>
    </xf>
    <xf numFmtId="0" fontId="2" fillId="0" borderId="0" xfId="0" applyFont="1" applyAlignment="1" applyProtection="1">
      <alignment horizontal="left" vertical="center" shrinkToFit="1"/>
      <protection hidden="1"/>
    </xf>
    <xf numFmtId="0" fontId="2" fillId="0" borderId="6" xfId="0" applyFont="1" applyBorder="1" applyAlignment="1" applyProtection="1">
      <alignment horizontal="left" vertical="center" shrinkToFit="1"/>
      <protection hidden="1"/>
    </xf>
    <xf numFmtId="0" fontId="2" fillId="0" borderId="12" xfId="0" applyFont="1" applyBorder="1" applyAlignment="1" applyProtection="1">
      <alignment horizontal="left" vertical="center" shrinkToFit="1"/>
      <protection hidden="1"/>
    </xf>
    <xf numFmtId="0" fontId="2" fillId="0" borderId="7" xfId="0" applyFont="1" applyBorder="1" applyAlignment="1" applyProtection="1">
      <alignment horizontal="left" vertical="center" shrinkToFit="1"/>
      <protection hidden="1"/>
    </xf>
    <xf numFmtId="0" fontId="13" fillId="0" borderId="1" xfId="0" applyFont="1" applyBorder="1" applyAlignment="1" applyProtection="1">
      <alignment horizontal="center" vertical="top"/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2" xfId="0" applyFont="1" applyBorder="1" applyAlignment="1" applyProtection="1">
      <alignment horizontal="left" vertical="center" shrinkToFit="1"/>
      <protection hidden="1"/>
    </xf>
    <xf numFmtId="0" fontId="13" fillId="0" borderId="6" xfId="0" applyFont="1" applyBorder="1" applyAlignment="1" applyProtection="1">
      <alignment horizontal="center"/>
      <protection hidden="1"/>
    </xf>
    <xf numFmtId="0" fontId="13" fillId="0" borderId="12" xfId="0" applyFont="1" applyBorder="1" applyAlignment="1" applyProtection="1">
      <alignment horizontal="center"/>
      <protection hidden="1"/>
    </xf>
    <xf numFmtId="0" fontId="13" fillId="0" borderId="7" xfId="0" applyFont="1" applyBorder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left" vertical="top" shrinkToFit="1"/>
      <protection hidden="1"/>
    </xf>
    <xf numFmtId="14" fontId="2" fillId="0" borderId="0" xfId="0" applyNumberFormat="1" applyFont="1" applyAlignment="1" applyProtection="1">
      <alignment horizontal="center" vertical="top" wrapText="1"/>
      <protection hidden="1"/>
    </xf>
    <xf numFmtId="0" fontId="6" fillId="0" borderId="0" xfId="0" applyFont="1" applyAlignment="1" applyProtection="1">
      <alignment horizontal="center" wrapText="1"/>
      <protection hidden="1"/>
    </xf>
    <xf numFmtId="0" fontId="4" fillId="0" borderId="0" xfId="0" applyFont="1" applyAlignment="1" applyProtection="1">
      <alignment horizontal="center" wrapText="1"/>
      <protection hidden="1"/>
    </xf>
    <xf numFmtId="0" fontId="4" fillId="0" borderId="0" xfId="0" applyFont="1" applyAlignment="1" applyProtection="1">
      <alignment horizontal="center" vertical="top" shrinkToFit="1"/>
      <protection hidden="1"/>
    </xf>
    <xf numFmtId="0" fontId="2" fillId="0" borderId="0" xfId="0" applyFont="1" applyAlignment="1" applyProtection="1">
      <alignment horizontal="center" vertical="top" wrapText="1"/>
      <protection hidden="1"/>
    </xf>
    <xf numFmtId="0" fontId="2" fillId="0" borderId="0" xfId="0" applyFont="1" applyAlignment="1" applyProtection="1">
      <alignment horizontal="center" wrapText="1"/>
      <protection hidden="1"/>
    </xf>
    <xf numFmtId="0" fontId="7" fillId="0" borderId="2" xfId="0" applyFont="1" applyBorder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left" vertical="center" shrinkToFit="1"/>
      <protection hidden="1"/>
    </xf>
    <xf numFmtId="0" fontId="7" fillId="0" borderId="6" xfId="0" applyFont="1" applyBorder="1" applyAlignment="1" applyProtection="1">
      <alignment horizontal="left" vertical="center" shrinkToFit="1"/>
      <protection hidden="1"/>
    </xf>
    <xf numFmtId="0" fontId="7" fillId="0" borderId="12" xfId="0" applyFont="1" applyBorder="1" applyAlignment="1" applyProtection="1">
      <alignment horizontal="left" vertical="center" shrinkToFit="1"/>
      <protection hidden="1"/>
    </xf>
    <xf numFmtId="0" fontId="7" fillId="0" borderId="7" xfId="0" applyFont="1" applyBorder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center" wrapText="1"/>
      <protection hidden="1"/>
    </xf>
    <xf numFmtId="0" fontId="7" fillId="0" borderId="6" xfId="0" applyFont="1" applyBorder="1" applyAlignment="1" applyProtection="1">
      <alignment horizontal="left" vertical="top" shrinkToFit="1"/>
      <protection hidden="1"/>
    </xf>
    <xf numFmtId="0" fontId="7" fillId="0" borderId="12" xfId="0" applyFont="1" applyBorder="1" applyAlignment="1" applyProtection="1">
      <alignment horizontal="left" vertical="top" shrinkToFit="1"/>
      <protection hidden="1"/>
    </xf>
    <xf numFmtId="0" fontId="7" fillId="0" borderId="7" xfId="0" applyFont="1" applyBorder="1" applyAlignment="1" applyProtection="1">
      <alignment horizontal="left" vertical="top" shrinkToFit="1"/>
      <protection hidden="1"/>
    </xf>
    <xf numFmtId="0" fontId="7" fillId="0" borderId="0" xfId="0" applyFont="1" applyAlignment="1" applyProtection="1">
      <alignment horizontal="center" vertical="center" wrapText="1"/>
      <protection hidden="1"/>
    </xf>
    <xf numFmtId="0" fontId="13" fillId="0" borderId="1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left" vertical="center" shrinkToFit="1"/>
      <protection hidden="1"/>
    </xf>
    <xf numFmtId="0" fontId="3" fillId="0" borderId="6" xfId="0" applyFont="1" applyBorder="1" applyAlignment="1" applyProtection="1">
      <alignment horizontal="left" vertical="center" shrinkToFit="1"/>
      <protection hidden="1"/>
    </xf>
    <xf numFmtId="0" fontId="3" fillId="0" borderId="12" xfId="0" applyFont="1" applyBorder="1" applyAlignment="1" applyProtection="1">
      <alignment horizontal="left" vertical="center" shrinkToFit="1"/>
      <protection hidden="1"/>
    </xf>
    <xf numFmtId="0" fontId="3" fillId="0" borderId="7" xfId="0" applyFont="1" applyBorder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left" wrapText="1"/>
      <protection hidden="1"/>
    </xf>
    <xf numFmtId="0" fontId="3" fillId="0" borderId="6" xfId="0" applyFont="1" applyBorder="1" applyAlignment="1" applyProtection="1">
      <alignment horizontal="right" vertical="center" shrinkToFit="1"/>
      <protection hidden="1"/>
    </xf>
    <xf numFmtId="0" fontId="3" fillId="0" borderId="12" xfId="0" applyFont="1" applyBorder="1" applyAlignment="1" applyProtection="1">
      <alignment horizontal="right" vertical="center" shrinkToFit="1"/>
      <protection hidden="1"/>
    </xf>
    <xf numFmtId="0" fontId="3" fillId="0" borderId="7" xfId="0" applyFont="1" applyBorder="1" applyAlignment="1" applyProtection="1">
      <alignment horizontal="right" vertical="center" shrinkToFit="1"/>
      <protection hidden="1"/>
    </xf>
    <xf numFmtId="0" fontId="3" fillId="0" borderId="0" xfId="0" applyFont="1" applyAlignment="1" applyProtection="1">
      <alignment horizontal="left" vertical="center" shrinkToFi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13" fillId="0" borderId="1" xfId="0" applyFont="1" applyBorder="1" applyAlignment="1" applyProtection="1">
      <alignment horizontal="center" vertical="top" wrapText="1"/>
      <protection hidden="1"/>
    </xf>
    <xf numFmtId="0" fontId="13" fillId="0" borderId="0" xfId="0" applyFont="1" applyAlignment="1" applyProtection="1">
      <alignment horizontal="center" vertical="top" wrapText="1"/>
      <protection hidden="1"/>
    </xf>
    <xf numFmtId="0" fontId="17" fillId="0" borderId="6" xfId="0" applyFont="1" applyBorder="1" applyAlignment="1" applyProtection="1">
      <alignment horizontal="center" vertical="center" shrinkToFit="1"/>
      <protection hidden="1"/>
    </xf>
    <xf numFmtId="0" fontId="17" fillId="0" borderId="12" xfId="0" applyFont="1" applyBorder="1" applyAlignment="1" applyProtection="1">
      <alignment horizontal="center" vertical="center" shrinkToFit="1"/>
      <protection hidden="1"/>
    </xf>
    <xf numFmtId="0" fontId="17" fillId="0" borderId="7" xfId="0" applyFont="1" applyBorder="1" applyAlignment="1" applyProtection="1">
      <alignment horizontal="center" vertical="center" shrinkToFit="1"/>
      <protection hidden="1"/>
    </xf>
    <xf numFmtId="0" fontId="13" fillId="0" borderId="6" xfId="0" applyFont="1" applyBorder="1" applyAlignment="1" applyProtection="1">
      <alignment horizontal="left" vertical="top" wrapText="1"/>
      <protection hidden="1"/>
    </xf>
    <xf numFmtId="0" fontId="13" fillId="0" borderId="12" xfId="0" applyFont="1" applyBorder="1" applyAlignment="1" applyProtection="1">
      <alignment horizontal="left" vertical="top" wrapText="1"/>
      <protection hidden="1"/>
    </xf>
    <xf numFmtId="0" fontId="13" fillId="0" borderId="7" xfId="0" applyFont="1" applyBorder="1" applyAlignment="1" applyProtection="1">
      <alignment horizontal="left" vertical="top" wrapText="1"/>
      <protection hidden="1"/>
    </xf>
    <xf numFmtId="0" fontId="18" fillId="0" borderId="2" xfId="0" applyFont="1" applyBorder="1" applyAlignment="1" applyProtection="1">
      <alignment horizontal="center" vertical="center" shrinkToFit="1"/>
      <protection hidden="1"/>
    </xf>
    <xf numFmtId="0" fontId="16" fillId="0" borderId="8" xfId="0" applyFont="1" applyBorder="1" applyAlignment="1" applyProtection="1">
      <alignment horizontal="center" vertical="top" wrapText="1"/>
      <protection hidden="1"/>
    </xf>
    <xf numFmtId="0" fontId="3" fillId="0" borderId="2" xfId="0" applyFont="1" applyBorder="1" applyAlignment="1" applyProtection="1">
      <alignment horizontal="left" vertical="center" shrinkToFit="1"/>
      <protection hidden="1"/>
    </xf>
    <xf numFmtId="0" fontId="7" fillId="0" borderId="0" xfId="0" applyFont="1" applyAlignment="1" applyProtection="1">
      <alignment horizontal="center" vertical="top" wrapText="1"/>
      <protection hidden="1"/>
    </xf>
    <xf numFmtId="0" fontId="7" fillId="0" borderId="0" xfId="0" applyFont="1" applyAlignment="1" applyProtection="1">
      <alignment horizontal="left" vertical="top" wrapText="1"/>
      <protection hidden="1"/>
    </xf>
    <xf numFmtId="0" fontId="13" fillId="0" borderId="6" xfId="0" applyFont="1" applyBorder="1" applyAlignment="1" applyProtection="1">
      <alignment horizontal="center" vertical="top" wrapText="1"/>
      <protection hidden="1"/>
    </xf>
    <xf numFmtId="0" fontId="13" fillId="0" borderId="12" xfId="0" applyFont="1" applyBorder="1" applyAlignment="1" applyProtection="1">
      <alignment horizontal="center" vertical="top" wrapText="1"/>
      <protection hidden="1"/>
    </xf>
    <xf numFmtId="0" fontId="13" fillId="0" borderId="7" xfId="0" applyFont="1" applyBorder="1" applyAlignment="1" applyProtection="1">
      <alignment horizontal="center" vertical="top" wrapText="1"/>
      <protection hidden="1"/>
    </xf>
    <xf numFmtId="0" fontId="17" fillId="0" borderId="0" xfId="0" applyFont="1" applyAlignment="1" applyProtection="1">
      <alignment horizontal="center" vertical="center" shrinkToFit="1"/>
      <protection hidden="1"/>
    </xf>
    <xf numFmtId="0" fontId="3" fillId="0" borderId="8" xfId="0" applyFont="1" applyBorder="1" applyAlignment="1" applyProtection="1">
      <alignment horizontal="left" vertical="center" shrinkToFit="1"/>
      <protection hidden="1"/>
    </xf>
    <xf numFmtId="0" fontId="18" fillId="0" borderId="2" xfId="0" applyFont="1" applyBorder="1" applyAlignment="1" applyProtection="1">
      <alignment horizontal="left" vertical="center" shrinkToFit="1"/>
      <protection hidden="1"/>
    </xf>
    <xf numFmtId="0" fontId="38" fillId="0" borderId="24" xfId="0" applyFont="1" applyBorder="1" applyAlignment="1" applyProtection="1">
      <alignment horizontal="center" vertical="center" shrinkToFit="1"/>
      <protection hidden="1"/>
    </xf>
    <xf numFmtId="0" fontId="38" fillId="0" borderId="34" xfId="0" applyFont="1" applyBorder="1" applyAlignment="1" applyProtection="1">
      <alignment horizontal="center" vertical="center" shrinkToFit="1"/>
      <protection hidden="1"/>
    </xf>
    <xf numFmtId="0" fontId="9" fillId="0" borderId="8" xfId="0" applyFont="1" applyBorder="1" applyAlignment="1" applyProtection="1">
      <alignment horizontal="left" vertical="center" shrinkToFit="1"/>
      <protection hidden="1"/>
    </xf>
    <xf numFmtId="0" fontId="9" fillId="0" borderId="4" xfId="0" applyFont="1" applyBorder="1" applyAlignment="1" applyProtection="1">
      <alignment horizontal="left" vertical="center" shrinkToFit="1"/>
      <protection hidden="1"/>
    </xf>
    <xf numFmtId="0" fontId="9" fillId="0" borderId="31" xfId="0" applyFont="1" applyBorder="1" applyAlignment="1" applyProtection="1">
      <alignment horizontal="left" vertical="center" shrinkToFit="1"/>
      <protection hidden="1"/>
    </xf>
    <xf numFmtId="0" fontId="9" fillId="0" borderId="29" xfId="0" applyFont="1" applyBorder="1" applyAlignment="1" applyProtection="1">
      <alignment horizontal="left" vertical="center" shrinkToFit="1"/>
      <protection hidden="1"/>
    </xf>
    <xf numFmtId="0" fontId="38" fillId="0" borderId="4" xfId="0" applyFont="1" applyBorder="1" applyAlignment="1" applyProtection="1">
      <alignment horizontal="center" vertical="center" wrapText="1"/>
      <protection locked="0" hidden="1"/>
    </xf>
    <xf numFmtId="0" fontId="38" fillId="0" borderId="11" xfId="0" applyFont="1" applyBorder="1" applyAlignment="1" applyProtection="1">
      <alignment horizontal="center" vertical="center" wrapText="1"/>
      <protection locked="0" hidden="1"/>
    </xf>
    <xf numFmtId="0" fontId="10" fillId="0" borderId="24" xfId="0" applyFont="1" applyBorder="1" applyAlignment="1" applyProtection="1">
      <alignment horizontal="center" vertical="center" shrinkToFit="1"/>
      <protection hidden="1"/>
    </xf>
    <xf numFmtId="0" fontId="10" fillId="0" borderId="25" xfId="0" applyFont="1" applyBorder="1" applyAlignment="1" applyProtection="1">
      <alignment horizontal="center" vertical="center" shrinkToFit="1"/>
      <protection hidden="1"/>
    </xf>
    <xf numFmtId="0" fontId="2" fillId="0" borderId="0" xfId="0" applyFont="1" applyAlignment="1" applyProtection="1">
      <alignment horizontal="right" wrapText="1"/>
      <protection hidden="1"/>
    </xf>
    <xf numFmtId="0" fontId="2" fillId="0" borderId="0" xfId="0" applyFont="1" applyAlignment="1" applyProtection="1">
      <alignment horizontal="right" shrinkToFit="1"/>
      <protection hidden="1"/>
    </xf>
    <xf numFmtId="0" fontId="2" fillId="0" borderId="0" xfId="0" applyFont="1" applyAlignment="1" applyProtection="1">
      <alignment horizontal="left" shrinkToFit="1"/>
      <protection hidden="1"/>
    </xf>
    <xf numFmtId="0" fontId="9" fillId="0" borderId="0" xfId="0" applyFont="1" applyAlignment="1" applyProtection="1">
      <alignment horizontal="left" vertical="center" shrinkToFit="1"/>
      <protection hidden="1"/>
    </xf>
    <xf numFmtId="0" fontId="9" fillId="0" borderId="5" xfId="0" applyFont="1" applyBorder="1" applyAlignment="1" applyProtection="1">
      <alignment horizontal="left" vertical="center" shrinkToFit="1"/>
      <protection hidden="1"/>
    </xf>
    <xf numFmtId="0" fontId="9" fillId="0" borderId="1" xfId="0" applyFont="1" applyBorder="1" applyAlignment="1" applyProtection="1">
      <alignment horizontal="left" vertical="center" shrinkToFit="1"/>
      <protection hidden="1"/>
    </xf>
    <xf numFmtId="0" fontId="9" fillId="0" borderId="11" xfId="0" applyFont="1" applyBorder="1" applyAlignment="1" applyProtection="1">
      <alignment horizontal="left" vertical="center" shrinkToFit="1"/>
      <protection hidden="1"/>
    </xf>
    <xf numFmtId="0" fontId="13" fillId="0" borderId="0" xfId="0" applyFont="1" applyAlignment="1" applyProtection="1">
      <alignment horizontal="center" wrapText="1"/>
      <protection hidden="1"/>
    </xf>
    <xf numFmtId="0" fontId="38" fillId="0" borderId="24" xfId="0" applyFont="1" applyBorder="1" applyAlignment="1" applyProtection="1">
      <alignment horizontal="center" vertical="center" wrapText="1"/>
      <protection hidden="1"/>
    </xf>
    <xf numFmtId="0" fontId="38" fillId="0" borderId="25" xfId="0" applyFont="1" applyBorder="1" applyAlignment="1" applyProtection="1">
      <alignment horizontal="center" vertical="center" wrapText="1"/>
      <protection hidden="1"/>
    </xf>
    <xf numFmtId="0" fontId="38" fillId="0" borderId="33" xfId="0" applyFont="1" applyBorder="1" applyAlignment="1" applyProtection="1">
      <alignment horizontal="center" vertical="center" shrinkToFit="1"/>
      <protection hidden="1"/>
    </xf>
    <xf numFmtId="0" fontId="38" fillId="0" borderId="25" xfId="0" applyFont="1" applyBorder="1" applyAlignment="1" applyProtection="1">
      <alignment horizontal="center" vertical="center" shrinkToFit="1"/>
      <protection hidden="1"/>
    </xf>
    <xf numFmtId="0" fontId="9" fillId="0" borderId="35" xfId="0" applyFont="1" applyBorder="1" applyAlignment="1" applyProtection="1">
      <alignment horizontal="left" vertical="center" shrinkToFit="1"/>
      <protection hidden="1"/>
    </xf>
    <xf numFmtId="0" fontId="9" fillId="0" borderId="36" xfId="0" applyFont="1" applyBorder="1" applyAlignment="1" applyProtection="1">
      <alignment horizontal="left" vertical="center" shrinkToFit="1"/>
      <protection hidden="1"/>
    </xf>
    <xf numFmtId="0" fontId="35" fillId="0" borderId="0" xfId="0" applyFont="1" applyAlignment="1" applyProtection="1">
      <alignment horizontal="center" vertical="top" wrapText="1"/>
      <protection hidden="1"/>
    </xf>
    <xf numFmtId="0" fontId="38" fillId="0" borderId="37" xfId="0" applyFont="1" applyBorder="1" applyAlignment="1" applyProtection="1">
      <alignment horizontal="center" vertical="center" shrinkToFit="1"/>
      <protection hidden="1"/>
    </xf>
    <xf numFmtId="0" fontId="10" fillId="0" borderId="4" xfId="0" applyFont="1" applyBorder="1" applyAlignment="1" applyProtection="1">
      <alignment horizontal="center" vertical="center" shrinkToFit="1"/>
      <protection hidden="1"/>
    </xf>
    <xf numFmtId="0" fontId="10" fillId="0" borderId="11" xfId="0" applyFont="1" applyBorder="1" applyAlignment="1" applyProtection="1">
      <alignment horizontal="center" vertical="center" shrinkToFit="1"/>
      <protection hidden="1"/>
    </xf>
    <xf numFmtId="0" fontId="38" fillId="0" borderId="24" xfId="0" applyFont="1" applyBorder="1" applyAlignment="1" applyProtection="1">
      <alignment horizontal="center" vertical="center" wrapText="1"/>
      <protection locked="0" hidden="1"/>
    </xf>
    <xf numFmtId="0" fontId="38" fillId="0" borderId="25" xfId="0" applyFont="1" applyBorder="1" applyAlignment="1" applyProtection="1">
      <alignment horizontal="center" vertical="center" wrapText="1"/>
      <protection locked="0" hidden="1"/>
    </xf>
    <xf numFmtId="0" fontId="38" fillId="0" borderId="5" xfId="0" applyFont="1" applyBorder="1" applyAlignment="1" applyProtection="1">
      <alignment horizontal="center" vertical="center" shrinkToFit="1"/>
      <protection hidden="1"/>
    </xf>
    <xf numFmtId="0" fontId="38" fillId="0" borderId="11" xfId="0" applyFont="1" applyBorder="1" applyAlignment="1" applyProtection="1">
      <alignment horizontal="center" vertical="center" shrinkToFit="1"/>
      <protection hidden="1"/>
    </xf>
    <xf numFmtId="0" fontId="9" fillId="0" borderId="24" xfId="0" applyFont="1" applyBorder="1" applyAlignment="1" applyProtection="1">
      <alignment horizontal="right" vertical="center" shrinkToFit="1"/>
      <protection hidden="1"/>
    </xf>
    <xf numFmtId="0" fontId="9" fillId="0" borderId="34" xfId="0" applyFont="1" applyBorder="1" applyAlignment="1" applyProtection="1">
      <alignment horizontal="right" vertical="center" shrinkToFit="1"/>
      <protection hidden="1"/>
    </xf>
    <xf numFmtId="0" fontId="38" fillId="0" borderId="4" xfId="0" applyFont="1" applyBorder="1" applyAlignment="1" applyProtection="1">
      <alignment horizontal="center" vertical="center" shrinkToFit="1"/>
      <protection hidden="1"/>
    </xf>
    <xf numFmtId="0" fontId="38" fillId="0" borderId="29" xfId="0" applyFont="1" applyBorder="1" applyAlignment="1" applyProtection="1">
      <alignment horizontal="center" vertical="center" shrinkToFit="1"/>
      <protection hidden="1"/>
    </xf>
    <xf numFmtId="0" fontId="9" fillId="0" borderId="33" xfId="0" applyFont="1" applyBorder="1" applyAlignment="1" applyProtection="1">
      <alignment horizontal="right" vertical="center" shrinkToFit="1"/>
      <protection hidden="1"/>
    </xf>
    <xf numFmtId="0" fontId="9" fillId="0" borderId="25" xfId="0" applyFont="1" applyBorder="1" applyAlignment="1" applyProtection="1">
      <alignment horizontal="right" vertical="center" shrinkToFit="1"/>
      <protection hidden="1"/>
    </xf>
    <xf numFmtId="0" fontId="37" fillId="0" borderId="0" xfId="0" applyFont="1" applyAlignment="1" applyProtection="1">
      <alignment horizontal="center" wrapText="1"/>
      <protection hidden="1"/>
    </xf>
    <xf numFmtId="0" fontId="37" fillId="0" borderId="5" xfId="0" applyFont="1" applyBorder="1" applyAlignment="1" applyProtection="1">
      <alignment horizontal="center" wrapText="1"/>
      <protection hidden="1"/>
    </xf>
    <xf numFmtId="0" fontId="37" fillId="0" borderId="1" xfId="0" applyFont="1" applyBorder="1" applyAlignment="1" applyProtection="1">
      <alignment horizontal="center" wrapText="1"/>
      <protection hidden="1"/>
    </xf>
    <xf numFmtId="0" fontId="37" fillId="0" borderId="11" xfId="0" applyFont="1" applyBorder="1" applyAlignment="1" applyProtection="1">
      <alignment horizontal="center" wrapText="1"/>
      <protection hidden="1"/>
    </xf>
    <xf numFmtId="0" fontId="38" fillId="0" borderId="38" xfId="0" applyFont="1" applyBorder="1" applyAlignment="1" applyProtection="1">
      <alignment horizontal="center" vertical="center" shrinkToFit="1"/>
      <protection hidden="1"/>
    </xf>
    <xf numFmtId="0" fontId="38" fillId="0" borderId="39" xfId="0" applyFont="1" applyBorder="1" applyAlignment="1" applyProtection="1">
      <alignment horizontal="center" vertical="center" shrinkToFit="1"/>
      <protection hidden="1"/>
    </xf>
    <xf numFmtId="0" fontId="9" fillId="0" borderId="37" xfId="0" applyFont="1" applyBorder="1" applyAlignment="1" applyProtection="1">
      <alignment horizontal="right" vertical="center" shrinkToFit="1"/>
      <protection hidden="1"/>
    </xf>
    <xf numFmtId="1" fontId="38" fillId="0" borderId="4" xfId="0" applyNumberFormat="1" applyFont="1" applyBorder="1" applyAlignment="1" applyProtection="1">
      <alignment horizontal="center" vertical="center" wrapText="1"/>
      <protection hidden="1"/>
    </xf>
    <xf numFmtId="1" fontId="38" fillId="0" borderId="11" xfId="0" applyNumberFormat="1" applyFont="1" applyBorder="1" applyAlignment="1" applyProtection="1">
      <alignment horizontal="center" vertical="center" wrapText="1"/>
      <protection hidden="1"/>
    </xf>
    <xf numFmtId="0" fontId="38" fillId="0" borderId="8" xfId="0" applyFont="1" applyBorder="1" applyAlignment="1" applyProtection="1">
      <alignment horizontal="center" vertical="center" wrapText="1"/>
      <protection locked="0" hidden="1"/>
    </xf>
    <xf numFmtId="0" fontId="38" fillId="0" borderId="1" xfId="0" applyFont="1" applyBorder="1" applyAlignment="1" applyProtection="1">
      <alignment horizontal="center" vertical="center" wrapText="1"/>
      <protection locked="0" hidden="1"/>
    </xf>
    <xf numFmtId="0" fontId="9" fillId="0" borderId="0" xfId="0" applyFont="1" applyAlignment="1" applyProtection="1">
      <alignment horizontal="center" wrapText="1"/>
      <protection hidden="1"/>
    </xf>
    <xf numFmtId="0" fontId="33" fillId="0" borderId="9" xfId="0" applyFont="1" applyBorder="1" applyAlignment="1" applyProtection="1">
      <alignment horizontal="center" vertical="center" wrapText="1"/>
      <protection hidden="1"/>
    </xf>
    <xf numFmtId="0" fontId="33" fillId="0" borderId="0" xfId="0" applyFont="1" applyAlignment="1" applyProtection="1">
      <alignment horizontal="center" vertical="center" wrapText="1"/>
      <protection hidden="1"/>
    </xf>
    <xf numFmtId="0" fontId="33" fillId="0" borderId="4" xfId="0" applyFont="1" applyBorder="1" applyAlignment="1" applyProtection="1">
      <alignment horizontal="center" vertical="center" wrapText="1"/>
      <protection hidden="1"/>
    </xf>
    <xf numFmtId="0" fontId="33" fillId="0" borderId="10" xfId="0" applyFont="1" applyBorder="1" applyAlignment="1" applyProtection="1">
      <alignment horizontal="center" vertical="center" wrapText="1"/>
      <protection hidden="1"/>
    </xf>
    <xf numFmtId="0" fontId="33" fillId="0" borderId="1" xfId="0" applyFont="1" applyBorder="1" applyAlignment="1" applyProtection="1">
      <alignment horizontal="center" vertical="center" wrapText="1"/>
      <protection hidden="1"/>
    </xf>
    <xf numFmtId="0" fontId="33" fillId="0" borderId="11" xfId="0" applyFont="1" applyBorder="1" applyAlignment="1" applyProtection="1">
      <alignment horizontal="center" vertical="center" wrapText="1"/>
      <protection hidden="1"/>
    </xf>
    <xf numFmtId="0" fontId="39" fillId="0" borderId="9" xfId="0" applyFont="1" applyBorder="1" applyAlignment="1" applyProtection="1">
      <alignment horizontal="center" vertical="top" wrapText="1"/>
      <protection locked="0" hidden="1"/>
    </xf>
    <xf numFmtId="0" fontId="39" fillId="0" borderId="4" xfId="0" applyFont="1" applyBorder="1" applyAlignment="1" applyProtection="1">
      <alignment horizontal="center" vertical="top" wrapText="1"/>
      <protection locked="0" hidden="1"/>
    </xf>
    <xf numFmtId="0" fontId="39" fillId="0" borderId="28" xfId="0" applyFont="1" applyBorder="1" applyAlignment="1" applyProtection="1">
      <alignment horizontal="center" vertical="top" wrapText="1"/>
      <protection locked="0" hidden="1"/>
    </xf>
    <xf numFmtId="0" fontId="39" fillId="0" borderId="29" xfId="0" applyFont="1" applyBorder="1" applyAlignment="1" applyProtection="1">
      <alignment horizontal="center" vertical="top" wrapText="1"/>
      <protection locked="0" hidden="1"/>
    </xf>
    <xf numFmtId="0" fontId="38" fillId="0" borderId="9" xfId="0" applyFont="1" applyBorder="1" applyAlignment="1" applyProtection="1">
      <alignment horizontal="center" vertical="center" wrapText="1"/>
      <protection locked="0" hidden="1"/>
    </xf>
    <xf numFmtId="0" fontId="38" fillId="0" borderId="26" xfId="0" applyFont="1" applyBorder="1" applyAlignment="1" applyProtection="1">
      <alignment horizontal="center" vertical="center" wrapText="1"/>
      <protection locked="0" hidden="1"/>
    </xf>
    <xf numFmtId="0" fontId="38" fillId="0" borderId="10" xfId="0" applyFont="1" applyBorder="1" applyAlignment="1" applyProtection="1">
      <alignment horizontal="center" vertical="center" wrapText="1"/>
      <protection locked="0" hidden="1"/>
    </xf>
    <xf numFmtId="0" fontId="38" fillId="0" borderId="27" xfId="0" applyFont="1" applyBorder="1" applyAlignment="1" applyProtection="1">
      <alignment horizontal="center" vertical="center" wrapText="1"/>
      <protection locked="0" hidden="1"/>
    </xf>
    <xf numFmtId="0" fontId="9" fillId="0" borderId="0" xfId="0" applyFont="1" applyAlignment="1" applyProtection="1">
      <alignment horizontal="center" vertical="top" wrapText="1"/>
      <protection hidden="1"/>
    </xf>
    <xf numFmtId="0" fontId="9" fillId="0" borderId="1" xfId="0" applyFont="1" applyBorder="1" applyAlignment="1" applyProtection="1">
      <alignment horizontal="center" vertical="top" wrapText="1"/>
      <protection hidden="1"/>
    </xf>
    <xf numFmtId="0" fontId="13" fillId="0" borderId="2" xfId="0" applyFont="1" applyBorder="1" applyAlignment="1" applyProtection="1">
      <alignment horizontal="center" vertical="top" wrapText="1"/>
      <protection hidden="1"/>
    </xf>
    <xf numFmtId="0" fontId="37" fillId="0" borderId="3" xfId="0" applyFont="1" applyBorder="1" applyAlignment="1" applyProtection="1">
      <alignment horizontal="center" wrapText="1"/>
      <protection hidden="1"/>
    </xf>
    <xf numFmtId="0" fontId="37" fillId="0" borderId="10" xfId="0" applyFont="1" applyBorder="1" applyAlignment="1" applyProtection="1">
      <alignment horizontal="center" wrapText="1"/>
      <protection hidden="1"/>
    </xf>
    <xf numFmtId="0" fontId="23" fillId="0" borderId="1" xfId="0" applyFont="1" applyBorder="1" applyAlignment="1" applyProtection="1">
      <alignment horizontal="center" shrinkToFit="1"/>
      <protection hidden="1"/>
    </xf>
    <xf numFmtId="0" fontId="21" fillId="0" borderId="51" xfId="0" applyFont="1" applyBorder="1" applyAlignment="1" applyProtection="1">
      <alignment horizontal="center" vertical="center" shrinkToFit="1"/>
      <protection locked="0" hidden="1"/>
    </xf>
    <xf numFmtId="0" fontId="21" fillId="0" borderId="2" xfId="0" applyFont="1" applyBorder="1" applyAlignment="1" applyProtection="1">
      <alignment horizontal="center" vertical="center" shrinkToFit="1"/>
      <protection locked="0" hidden="1"/>
    </xf>
    <xf numFmtId="0" fontId="21" fillId="0" borderId="6" xfId="0" applyFont="1" applyBorder="1" applyAlignment="1" applyProtection="1">
      <alignment horizontal="center" vertical="center" shrinkToFit="1"/>
      <protection locked="0" hidden="1"/>
    </xf>
    <xf numFmtId="0" fontId="21" fillId="0" borderId="51" xfId="0" applyFont="1" applyBorder="1" applyAlignment="1" applyProtection="1">
      <alignment horizontal="center" vertical="center" shrinkToFit="1"/>
      <protection hidden="1"/>
    </xf>
    <xf numFmtId="0" fontId="21" fillId="0" borderId="2" xfId="0" applyFont="1" applyBorder="1" applyAlignment="1" applyProtection="1">
      <alignment horizontal="center" vertical="center" shrinkToFit="1"/>
      <protection hidden="1"/>
    </xf>
    <xf numFmtId="0" fontId="21" fillId="0" borderId="6" xfId="0" applyFont="1" applyBorder="1" applyAlignment="1" applyProtection="1">
      <alignment horizontal="center" vertical="center" shrinkToFit="1"/>
      <protection hidden="1"/>
    </xf>
    <xf numFmtId="0" fontId="20" fillId="0" borderId="0" xfId="0" applyFont="1" applyAlignment="1" applyProtection="1">
      <alignment horizontal="center" vertical="top" shrinkToFit="1"/>
      <protection hidden="1"/>
    </xf>
    <xf numFmtId="0" fontId="22" fillId="0" borderId="0" xfId="0" applyFont="1" applyAlignment="1" applyProtection="1">
      <alignment horizontal="center" vertical="top" shrinkToFit="1"/>
      <protection hidden="1"/>
    </xf>
    <xf numFmtId="0" fontId="22" fillId="0" borderId="0" xfId="0" applyFont="1" applyAlignment="1" applyProtection="1">
      <alignment horizontal="center" shrinkToFit="1"/>
      <protection hidden="1"/>
    </xf>
    <xf numFmtId="14" fontId="22" fillId="0" borderId="0" xfId="0" applyNumberFormat="1" applyFont="1" applyAlignment="1" applyProtection="1">
      <alignment horizontal="center" shrinkToFit="1"/>
      <protection hidden="1"/>
    </xf>
    <xf numFmtId="0" fontId="35" fillId="0" borderId="0" xfId="0" applyFont="1" applyAlignment="1" applyProtection="1">
      <alignment horizontal="left" shrinkToFit="1"/>
      <protection hidden="1"/>
    </xf>
    <xf numFmtId="0" fontId="21" fillId="0" borderId="12" xfId="0" applyFont="1" applyBorder="1" applyAlignment="1" applyProtection="1">
      <alignment horizontal="center" vertical="center" shrinkToFit="1"/>
      <protection hidden="1"/>
    </xf>
    <xf numFmtId="0" fontId="20" fillId="0" borderId="0" xfId="0" applyFont="1" applyAlignment="1" applyProtection="1">
      <alignment horizontal="center" vertical="top" wrapText="1"/>
      <protection hidden="1"/>
    </xf>
    <xf numFmtId="0" fontId="22" fillId="0" borderId="0" xfId="0" applyFont="1" applyAlignment="1" applyProtection="1">
      <alignment horizontal="center" vertical="top" wrapText="1"/>
      <protection hidden="1"/>
    </xf>
    <xf numFmtId="0" fontId="22" fillId="0" borderId="0" xfId="0" applyFont="1" applyAlignment="1" applyProtection="1">
      <alignment horizontal="center" wrapText="1"/>
      <protection hidden="1"/>
    </xf>
    <xf numFmtId="14" fontId="22" fillId="0" borderId="0" xfId="0" applyNumberFormat="1" applyFont="1" applyAlignment="1" applyProtection="1">
      <alignment horizontal="center" wrapText="1"/>
      <protection hidden="1"/>
    </xf>
    <xf numFmtId="0" fontId="0" fillId="0" borderId="0" xfId="0" applyAlignment="1" applyProtection="1">
      <alignment horizontal="left"/>
      <protection hidden="1"/>
    </xf>
    <xf numFmtId="0" fontId="23" fillId="0" borderId="1" xfId="0" applyFont="1" applyBorder="1" applyAlignment="1" applyProtection="1">
      <alignment horizontal="center" wrapText="1"/>
      <protection hidden="1"/>
    </xf>
    <xf numFmtId="0" fontId="21" fillId="0" borderId="12" xfId="0" applyFont="1" applyBorder="1" applyAlignment="1" applyProtection="1">
      <alignment horizontal="center" vertical="center" wrapText="1"/>
      <protection hidden="1"/>
    </xf>
    <xf numFmtId="0" fontId="21" fillId="0" borderId="6" xfId="0" applyFont="1" applyBorder="1" applyAlignment="1" applyProtection="1">
      <alignment horizontal="center" vertical="center" wrapText="1"/>
      <protection hidden="1"/>
    </xf>
    <xf numFmtId="0" fontId="21" fillId="0" borderId="7" xfId="0" applyFont="1" applyBorder="1" applyAlignment="1" applyProtection="1">
      <alignment horizontal="center" vertical="center" wrapText="1"/>
      <protection hidden="1"/>
    </xf>
    <xf numFmtId="0" fontId="21" fillId="0" borderId="51" xfId="0" applyFont="1" applyBorder="1" applyAlignment="1" applyProtection="1">
      <alignment horizontal="center" vertical="center" wrapText="1"/>
      <protection hidden="1"/>
    </xf>
    <xf numFmtId="0" fontId="21" fillId="0" borderId="2" xfId="0" applyFont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shrinkToFit="1"/>
      <protection hidden="1"/>
    </xf>
    <xf numFmtId="0" fontId="22" fillId="0" borderId="0" xfId="0" applyFont="1" applyAlignment="1" applyProtection="1">
      <alignment horizontal="left" shrinkToFit="1"/>
      <protection hidden="1"/>
    </xf>
    <xf numFmtId="0" fontId="0" fillId="0" borderId="0" xfId="0" applyAlignment="1" applyProtection="1">
      <alignment horizontal="left" shrinkToFit="1"/>
      <protection hidden="1"/>
    </xf>
    <xf numFmtId="166" fontId="22" fillId="0" borderId="0" xfId="0" applyNumberFormat="1" applyFont="1" applyAlignment="1" applyProtection="1">
      <alignment horizontal="center" shrinkToFit="1"/>
      <protection hidden="1"/>
    </xf>
    <xf numFmtId="0" fontId="23" fillId="0" borderId="0" xfId="0" applyFont="1" applyAlignment="1" applyProtection="1">
      <alignment horizontal="center" wrapText="1"/>
      <protection hidden="1"/>
    </xf>
    <xf numFmtId="0" fontId="0" fillId="0" borderId="0" xfId="0" applyProtection="1">
      <protection hidden="1"/>
    </xf>
    <xf numFmtId="0" fontId="24" fillId="0" borderId="2" xfId="0" applyFont="1" applyBorder="1" applyAlignment="1" applyProtection="1">
      <alignment horizontal="center" wrapText="1"/>
      <protection hidden="1"/>
    </xf>
    <xf numFmtId="0" fontId="0" fillId="0" borderId="54" xfId="0" applyBorder="1" applyProtection="1">
      <protection hidden="1"/>
    </xf>
    <xf numFmtId="0" fontId="25" fillId="0" borderId="2" xfId="0" applyFont="1" applyBorder="1" applyAlignment="1" applyProtection="1">
      <alignment horizontal="center" wrapText="1"/>
      <protection hidden="1"/>
    </xf>
    <xf numFmtId="0" fontId="0" fillId="0" borderId="12" xfId="0" applyBorder="1" applyProtection="1">
      <protection hidden="1"/>
    </xf>
    <xf numFmtId="0" fontId="0" fillId="0" borderId="7" xfId="0" applyBorder="1" applyProtection="1">
      <protection hidden="1"/>
    </xf>
    <xf numFmtId="0" fontId="21" fillId="0" borderId="2" xfId="0" applyFont="1" applyBorder="1" applyAlignment="1" applyProtection="1">
      <alignment horizontal="center" vertical="center"/>
      <protection hidden="1"/>
    </xf>
    <xf numFmtId="0" fontId="26" fillId="0" borderId="2" xfId="0" applyFont="1" applyBorder="1" applyAlignment="1" applyProtection="1">
      <alignment horizontal="center" vertical="center" wrapText="1"/>
      <protection hidden="1"/>
    </xf>
    <xf numFmtId="0" fontId="21" fillId="0" borderId="53" xfId="0" applyFont="1" applyBorder="1" applyAlignment="1" applyProtection="1">
      <alignment horizontal="center" vertical="center" wrapText="1"/>
      <protection hidden="1"/>
    </xf>
    <xf numFmtId="0" fontId="0" fillId="0" borderId="55" xfId="0" applyBorder="1" applyProtection="1">
      <protection hidden="1"/>
    </xf>
    <xf numFmtId="0" fontId="0" fillId="0" borderId="56" xfId="0" applyBorder="1" applyProtection="1">
      <protection hidden="1"/>
    </xf>
    <xf numFmtId="0" fontId="28" fillId="0" borderId="22" xfId="0" applyFont="1" applyBorder="1" applyAlignment="1" applyProtection="1">
      <alignment horizontal="center" vertical="center" shrinkToFit="1"/>
      <protection locked="0" hidden="1"/>
    </xf>
    <xf numFmtId="0" fontId="28" fillId="0" borderId="52" xfId="0" applyFont="1" applyBorder="1" applyAlignment="1" applyProtection="1">
      <alignment horizontal="center" vertical="center" shrinkToFit="1"/>
      <protection locked="0" hidden="1"/>
    </xf>
    <xf numFmtId="0" fontId="28" fillId="0" borderId="54" xfId="0" applyFont="1" applyBorder="1" applyAlignment="1" applyProtection="1">
      <alignment horizontal="center" vertical="center" shrinkToFit="1"/>
      <protection locked="0" hidden="1"/>
    </xf>
    <xf numFmtId="0" fontId="28" fillId="0" borderId="22" xfId="0" applyFont="1" applyBorder="1" applyAlignment="1" applyProtection="1">
      <alignment horizontal="center" vertical="center"/>
      <protection locked="0" hidden="1"/>
    </xf>
    <xf numFmtId="0" fontId="28" fillId="0" borderId="52" xfId="0" applyFont="1" applyBorder="1" applyAlignment="1" applyProtection="1">
      <alignment horizontal="center" vertical="center"/>
      <protection locked="0" hidden="1"/>
    </xf>
    <xf numFmtId="0" fontId="28" fillId="0" borderId="54" xfId="0" applyFont="1" applyBorder="1" applyAlignment="1" applyProtection="1">
      <alignment horizontal="center" vertical="center"/>
      <protection locked="0" hidden="1"/>
    </xf>
    <xf numFmtId="165" fontId="28" fillId="0" borderId="57" xfId="0" applyNumberFormat="1" applyFont="1" applyBorder="1" applyAlignment="1" applyProtection="1">
      <alignment horizontal="center" vertical="center" shrinkToFit="1"/>
      <protection locked="0" hidden="1"/>
    </xf>
    <xf numFmtId="165" fontId="28" fillId="0" borderId="52" xfId="0" applyNumberFormat="1" applyFont="1" applyBorder="1" applyAlignment="1" applyProtection="1">
      <alignment horizontal="center" vertical="center" shrinkToFit="1"/>
      <protection locked="0" hidden="1"/>
    </xf>
    <xf numFmtId="165" fontId="28" fillId="0" borderId="54" xfId="0" applyNumberFormat="1" applyFont="1" applyBorder="1" applyAlignment="1" applyProtection="1">
      <alignment horizontal="center" vertical="center" shrinkToFit="1"/>
      <protection locked="0" hidden="1"/>
    </xf>
    <xf numFmtId="0" fontId="28" fillId="0" borderId="57" xfId="0" applyFont="1" applyBorder="1" applyAlignment="1" applyProtection="1">
      <alignment horizontal="center" vertical="center" shrinkToFit="1"/>
      <protection locked="0" hidden="1"/>
    </xf>
    <xf numFmtId="165" fontId="28" fillId="0" borderId="57" xfId="0" applyNumberFormat="1" applyFont="1" applyBorder="1" applyAlignment="1" applyProtection="1">
      <alignment horizontal="center" vertical="center"/>
      <protection hidden="1"/>
    </xf>
    <xf numFmtId="0" fontId="28" fillId="0" borderId="52" xfId="0" applyFont="1" applyBorder="1" applyAlignment="1" applyProtection="1">
      <alignment horizontal="center" vertical="center"/>
      <protection hidden="1"/>
    </xf>
    <xf numFmtId="0" fontId="28" fillId="0" borderId="54" xfId="0" applyFont="1" applyBorder="1" applyAlignment="1" applyProtection="1">
      <alignment horizontal="center" vertical="center"/>
      <protection hidden="1"/>
    </xf>
    <xf numFmtId="0" fontId="28" fillId="0" borderId="23" xfId="0" applyFont="1" applyBorder="1" applyAlignment="1" applyProtection="1">
      <alignment horizontal="center" vertical="center" shrinkToFit="1"/>
      <protection locked="0" hidden="1"/>
    </xf>
    <xf numFmtId="0" fontId="23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right"/>
      <protection hidden="1"/>
    </xf>
    <xf numFmtId="165" fontId="28" fillId="0" borderId="23" xfId="0" applyNumberFormat="1" applyFont="1" applyBorder="1" applyAlignment="1" applyProtection="1">
      <alignment horizontal="center" vertical="center" shrinkToFit="1"/>
      <protection locked="0" hidden="1"/>
    </xf>
    <xf numFmtId="0" fontId="26" fillId="0" borderId="57" xfId="0" applyFont="1" applyBorder="1" applyAlignment="1" applyProtection="1">
      <alignment horizontal="center" vertical="center" shrinkToFit="1"/>
      <protection locked="0" hidden="1"/>
    </xf>
    <xf numFmtId="0" fontId="26" fillId="0" borderId="52" xfId="0" applyFont="1" applyBorder="1" applyAlignment="1" applyProtection="1">
      <alignment horizontal="center" vertical="center" shrinkToFit="1"/>
      <protection locked="0" hidden="1"/>
    </xf>
    <xf numFmtId="0" fontId="26" fillId="0" borderId="54" xfId="0" applyFont="1" applyBorder="1" applyAlignment="1" applyProtection="1">
      <alignment horizontal="center" vertical="center" shrinkToFit="1"/>
      <protection locked="0" hidden="1"/>
    </xf>
    <xf numFmtId="0" fontId="28" fillId="0" borderId="57" xfId="0" applyFont="1" applyBorder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left" shrinkToFit="1"/>
      <protection hidden="1"/>
    </xf>
    <xf numFmtId="0" fontId="28" fillId="0" borderId="23" xfId="0" applyFont="1" applyBorder="1" applyAlignment="1" applyProtection="1">
      <alignment horizontal="center" vertical="center"/>
      <protection hidden="1"/>
    </xf>
    <xf numFmtId="0" fontId="28" fillId="0" borderId="23" xfId="0" applyFont="1" applyBorder="1" applyAlignment="1" applyProtection="1">
      <alignment horizontal="center" vertical="center"/>
      <protection locked="0" hidden="1"/>
    </xf>
    <xf numFmtId="0" fontId="26" fillId="0" borderId="23" xfId="0" applyFont="1" applyBorder="1" applyAlignment="1" applyProtection="1">
      <alignment horizontal="center" vertical="center" shrinkToFit="1"/>
      <protection locked="0" hidden="1"/>
    </xf>
    <xf numFmtId="0" fontId="28" fillId="0" borderId="57" xfId="0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shrinkToFit="1"/>
      <protection hidden="1"/>
    </xf>
    <xf numFmtId="0" fontId="9" fillId="0" borderId="70" xfId="0" applyFont="1" applyBorder="1" applyAlignment="1">
      <alignment horizontal="center" vertical="center" shrinkToFit="1"/>
    </xf>
    <xf numFmtId="0" fontId="9" fillId="0" borderId="72" xfId="0" applyFont="1" applyBorder="1" applyAlignment="1">
      <alignment horizontal="center" vertical="center" shrinkToFit="1"/>
    </xf>
    <xf numFmtId="0" fontId="9" fillId="0" borderId="69" xfId="0" applyFont="1" applyBorder="1" applyAlignment="1">
      <alignment horizontal="center" vertical="center" shrinkToFit="1"/>
    </xf>
    <xf numFmtId="0" fontId="9" fillId="0" borderId="73" xfId="0" applyFont="1" applyBorder="1" applyAlignment="1">
      <alignment horizontal="center" vertical="center" shrinkToFit="1"/>
    </xf>
    <xf numFmtId="0" fontId="9" fillId="0" borderId="71" xfId="0" applyFont="1" applyBorder="1" applyAlignment="1">
      <alignment horizontal="center" vertical="center" shrinkToFit="1"/>
    </xf>
    <xf numFmtId="0" fontId="9" fillId="0" borderId="68" xfId="0" applyFont="1" applyBorder="1" applyAlignment="1">
      <alignment horizontal="center" vertical="center" shrinkToFit="1"/>
    </xf>
    <xf numFmtId="0" fontId="15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top" shrinkToFit="1"/>
    </xf>
    <xf numFmtId="0" fontId="10" fillId="0" borderId="6" xfId="0" applyFont="1" applyBorder="1" applyAlignment="1">
      <alignment horizontal="center" vertical="center" shrinkToFit="1"/>
    </xf>
    <xf numFmtId="0" fontId="10" fillId="0" borderId="66" xfId="0" applyFont="1" applyBorder="1" applyAlignment="1">
      <alignment horizontal="center" vertical="center" shrinkToFit="1"/>
    </xf>
    <xf numFmtId="0" fontId="2" fillId="0" borderId="0" xfId="0" applyFont="1" applyAlignment="1">
      <alignment horizontal="right" vertical="center" shrinkToFit="1"/>
    </xf>
    <xf numFmtId="0" fontId="10" fillId="0" borderId="12" xfId="0" applyFont="1" applyBorder="1" applyAlignment="1">
      <alignment horizontal="center" vertical="center" shrinkToFit="1"/>
    </xf>
    <xf numFmtId="0" fontId="2" fillId="0" borderId="0" xfId="0" applyFont="1" applyAlignment="1">
      <alignment horizontal="left" vertical="center" shrinkToFit="1"/>
    </xf>
    <xf numFmtId="0" fontId="4" fillId="0" borderId="0" xfId="0" applyFont="1" applyAlignment="1">
      <alignment horizontal="left" shrinkToFit="1"/>
    </xf>
    <xf numFmtId="0" fontId="4" fillId="0" borderId="0" xfId="0" applyFont="1" applyAlignment="1">
      <alignment horizontal="right" vertical="center" shrinkToFit="1"/>
    </xf>
    <xf numFmtId="14" fontId="2" fillId="0" borderId="0" xfId="0" applyNumberFormat="1" applyFont="1" applyAlignment="1">
      <alignment horizontal="right" vertical="center" shrinkToFit="1"/>
    </xf>
    <xf numFmtId="0" fontId="8" fillId="0" borderId="0" xfId="0" applyFont="1" applyAlignment="1">
      <alignment horizontal="center" shrinkToFit="1"/>
    </xf>
    <xf numFmtId="0" fontId="8" fillId="0" borderId="1" xfId="0" applyFont="1" applyBorder="1" applyAlignment="1">
      <alignment horizontal="center" shrinkToFit="1"/>
    </xf>
    <xf numFmtId="14" fontId="8" fillId="0" borderId="0" xfId="0" applyNumberFormat="1" applyFont="1" applyAlignment="1">
      <alignment horizontal="left" vertical="center" shrinkToFit="1"/>
    </xf>
    <xf numFmtId="0" fontId="8" fillId="0" borderId="0" xfId="0" applyFont="1" applyAlignment="1">
      <alignment horizontal="left" vertical="center" shrinkToFit="1"/>
    </xf>
    <xf numFmtId="0" fontId="8" fillId="0" borderId="0" xfId="0" applyFont="1" applyAlignment="1">
      <alignment horizontal="center" vertical="center" shrinkToFit="1"/>
    </xf>
    <xf numFmtId="14" fontId="8" fillId="0" borderId="0" xfId="0" applyNumberFormat="1" applyFont="1" applyAlignment="1">
      <alignment horizontal="right" vertical="center" shrinkToFit="1"/>
    </xf>
    <xf numFmtId="0" fontId="8" fillId="0" borderId="0" xfId="0" applyFont="1" applyAlignment="1">
      <alignment horizontal="right" vertical="center" shrinkToFit="1"/>
    </xf>
    <xf numFmtId="0" fontId="16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right" shrinkToFit="1"/>
    </xf>
    <xf numFmtId="0" fontId="9" fillId="0" borderId="0" xfId="0" applyFont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7" fillId="0" borderId="0" xfId="0" applyFont="1" applyAlignment="1">
      <alignment horizontal="right" vertical="center" shrinkToFit="1"/>
    </xf>
    <xf numFmtId="0" fontId="7" fillId="0" borderId="0" xfId="0" applyFont="1" applyAlignment="1">
      <alignment horizontal="left" shrinkToFit="1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4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S166"/>
  <sheetViews>
    <sheetView showGridLines="0" showZeros="0" tabSelected="1" workbookViewId="0">
      <selection activeCell="Q13" sqref="Q13"/>
    </sheetView>
  </sheetViews>
  <sheetFormatPr defaultColWidth="9.1796875" defaultRowHeight="12.5"/>
  <cols>
    <col min="1" max="1" width="3.54296875" style="4" bestFit="1" customWidth="1"/>
    <col min="2" max="2" width="4.453125" style="4" bestFit="1" customWidth="1"/>
    <col min="3" max="3" width="3.54296875" style="4" bestFit="1" customWidth="1"/>
    <col min="4" max="4" width="14" style="4" customWidth="1"/>
    <col min="5" max="5" width="10.7265625" style="4" customWidth="1"/>
    <col min="6" max="6" width="13.1796875" style="4" customWidth="1"/>
    <col min="7" max="7" width="10" style="4" customWidth="1"/>
    <col min="8" max="8" width="10.1796875" style="4" bestFit="1" customWidth="1"/>
    <col min="9" max="9" width="6.81640625" style="4" customWidth="1"/>
    <col min="10" max="10" width="8.26953125" style="4" hidden="1" customWidth="1"/>
    <col min="11" max="11" width="11.26953125" style="6" customWidth="1"/>
    <col min="12" max="13" width="14.54296875" style="4" customWidth="1"/>
    <col min="14" max="14" width="16.453125" style="4" customWidth="1"/>
    <col min="15" max="15" width="6.81640625" style="6" customWidth="1"/>
    <col min="16" max="21" width="9.1796875" style="4"/>
    <col min="22" max="24" width="4.26953125" style="4" customWidth="1"/>
    <col min="25" max="16384" width="9.1796875" style="4"/>
  </cols>
  <sheetData>
    <row r="1" spans="1:19" s="18" customFormat="1" ht="37.5" customHeight="1">
      <c r="A1" s="515" t="s">
        <v>65</v>
      </c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515"/>
      <c r="M1" s="515"/>
      <c r="N1" s="515"/>
      <c r="O1" s="65"/>
      <c r="P1" s="66"/>
      <c r="Q1" s="66"/>
      <c r="R1" s="66"/>
      <c r="S1" s="66"/>
    </row>
    <row r="2" spans="1:19" ht="13">
      <c r="A2" s="517" t="s">
        <v>66</v>
      </c>
      <c r="B2" s="517"/>
      <c r="C2" s="517"/>
      <c r="D2" s="517"/>
      <c r="E2" s="517"/>
      <c r="F2" s="517"/>
      <c r="G2" s="517"/>
      <c r="H2" s="517"/>
      <c r="I2" s="517"/>
      <c r="J2" s="517"/>
      <c r="K2" s="517"/>
      <c r="L2" s="517"/>
      <c r="M2" s="517"/>
      <c r="N2" s="517"/>
      <c r="O2" s="67"/>
      <c r="P2" s="39"/>
      <c r="Q2" s="39"/>
      <c r="R2" s="39"/>
      <c r="S2" s="39"/>
    </row>
    <row r="3" spans="1:19" ht="14.25" customHeight="1">
      <c r="A3" s="518" t="s">
        <v>88</v>
      </c>
      <c r="B3" s="518"/>
      <c r="C3" s="518"/>
      <c r="D3" s="518"/>
      <c r="E3" s="518"/>
      <c r="F3" s="52"/>
      <c r="G3" s="519" t="s">
        <v>50</v>
      </c>
      <c r="H3" s="519"/>
      <c r="I3" s="519"/>
      <c r="J3" s="519"/>
      <c r="K3" s="63"/>
      <c r="L3" s="68" t="s">
        <v>54</v>
      </c>
      <c r="M3" s="68"/>
      <c r="N3" s="68"/>
      <c r="O3" s="67"/>
      <c r="P3" s="39"/>
      <c r="Q3" s="39"/>
      <c r="R3" s="39"/>
      <c r="S3" s="39"/>
    </row>
    <row r="4" spans="1:19" ht="14.25" customHeight="1">
      <c r="A4" s="521" t="s">
        <v>7</v>
      </c>
      <c r="B4" s="521"/>
      <c r="C4" s="521"/>
      <c r="D4" s="521"/>
      <c r="E4" s="521"/>
      <c r="F4" s="69"/>
      <c r="G4" s="520" t="s">
        <v>9</v>
      </c>
      <c r="H4" s="520"/>
      <c r="I4" s="520"/>
      <c r="J4" s="520"/>
      <c r="K4" s="70"/>
      <c r="L4" s="516" t="s">
        <v>10</v>
      </c>
      <c r="M4" s="516"/>
      <c r="N4" s="516"/>
      <c r="O4" s="67"/>
      <c r="P4" s="39"/>
      <c r="Q4" s="39"/>
      <c r="R4" s="39"/>
      <c r="S4" s="39"/>
    </row>
    <row r="5" spans="1:19" ht="16.5" customHeight="1">
      <c r="A5" s="514" t="s">
        <v>12</v>
      </c>
      <c r="B5" s="514"/>
      <c r="C5" s="514"/>
      <c r="D5" s="514"/>
      <c r="E5" s="514"/>
      <c r="F5" s="514"/>
      <c r="G5" s="514"/>
      <c r="H5" s="514"/>
      <c r="I5" s="514"/>
      <c r="J5" s="514"/>
      <c r="K5" s="514"/>
      <c r="L5" s="514"/>
      <c r="M5" s="514"/>
      <c r="N5" s="514"/>
      <c r="O5" s="67"/>
      <c r="P5" s="39"/>
      <c r="Q5" s="39"/>
      <c r="R5" s="39"/>
      <c r="S5" s="39"/>
    </row>
    <row r="6" spans="1:19" ht="22.5" hidden="1" customHeight="1">
      <c r="A6" s="71" t="s">
        <v>51</v>
      </c>
      <c r="B6" s="71"/>
      <c r="C6" s="71"/>
      <c r="D6" s="72">
        <f>DCOUNTA(D7:D71,1,D7:D71)</f>
        <v>6</v>
      </c>
      <c r="E6" s="71"/>
      <c r="F6" s="71"/>
      <c r="G6" s="71"/>
      <c r="H6" s="71"/>
      <c r="I6" s="71"/>
      <c r="J6" s="71"/>
      <c r="K6" s="73"/>
      <c r="L6" s="71"/>
      <c r="M6" s="71"/>
      <c r="N6" s="71"/>
      <c r="O6" s="67"/>
      <c r="P6" s="39"/>
      <c r="Q6" s="39"/>
      <c r="R6" s="39"/>
      <c r="S6" s="39"/>
    </row>
    <row r="7" spans="1:19" s="17" customFormat="1" ht="25.5" customHeight="1">
      <c r="A7" s="480" t="s">
        <v>2</v>
      </c>
      <c r="B7" s="480" t="s">
        <v>8</v>
      </c>
      <c r="C7" s="480" t="s">
        <v>3</v>
      </c>
      <c r="D7" s="480" t="s">
        <v>4</v>
      </c>
      <c r="E7" s="480" t="s">
        <v>5</v>
      </c>
      <c r="F7" s="480" t="s">
        <v>6</v>
      </c>
      <c r="G7" s="480" t="s">
        <v>20</v>
      </c>
      <c r="H7" s="480" t="s">
        <v>24</v>
      </c>
      <c r="I7" s="480" t="s">
        <v>21</v>
      </c>
      <c r="J7" s="480" t="s">
        <v>22</v>
      </c>
      <c r="K7" s="480" t="s">
        <v>23</v>
      </c>
      <c r="L7" s="480" t="s">
        <v>47</v>
      </c>
      <c r="M7" s="480" t="s">
        <v>53</v>
      </c>
      <c r="N7" s="480" t="s">
        <v>11</v>
      </c>
      <c r="O7" s="502" t="s">
        <v>19</v>
      </c>
      <c r="P7" s="74"/>
      <c r="Q7" s="74"/>
      <c r="R7" s="74"/>
      <c r="S7" s="74"/>
    </row>
    <row r="8" spans="1:19" ht="12.75" customHeight="1">
      <c r="A8" s="483">
        <v>1</v>
      </c>
      <c r="B8" s="481">
        <v>4</v>
      </c>
      <c r="C8" s="508" t="s">
        <v>64</v>
      </c>
      <c r="D8" s="507" t="s">
        <v>67</v>
      </c>
      <c r="E8" s="507" t="s">
        <v>68</v>
      </c>
      <c r="F8" s="507" t="s">
        <v>69</v>
      </c>
      <c r="G8" s="509">
        <v>38223</v>
      </c>
      <c r="H8" s="507">
        <v>21</v>
      </c>
      <c r="I8" s="507" t="s">
        <v>61</v>
      </c>
      <c r="J8" s="507"/>
      <c r="K8" s="507" t="s">
        <v>56</v>
      </c>
      <c r="L8" s="507" t="s">
        <v>62</v>
      </c>
      <c r="M8" s="507" t="s">
        <v>63</v>
      </c>
      <c r="N8" s="507" t="s">
        <v>58</v>
      </c>
      <c r="O8" s="507">
        <v>3</v>
      </c>
      <c r="P8" s="39"/>
      <c r="Q8" s="39"/>
      <c r="R8" s="39"/>
      <c r="S8" s="39"/>
    </row>
    <row r="9" spans="1:19" ht="12.75" customHeight="1">
      <c r="A9" s="483">
        <v>2</v>
      </c>
      <c r="B9" s="481">
        <v>1</v>
      </c>
      <c r="C9" s="508" t="s">
        <v>64</v>
      </c>
      <c r="D9" s="507" t="s">
        <v>70</v>
      </c>
      <c r="E9" s="507" t="s">
        <v>71</v>
      </c>
      <c r="F9" s="507" t="s">
        <v>72</v>
      </c>
      <c r="G9" s="509">
        <v>38890</v>
      </c>
      <c r="H9" s="507">
        <v>19</v>
      </c>
      <c r="I9" s="507" t="s">
        <v>61</v>
      </c>
      <c r="J9" s="507" t="s">
        <v>59</v>
      </c>
      <c r="K9" s="507" t="s">
        <v>56</v>
      </c>
      <c r="L9" s="507" t="s">
        <v>62</v>
      </c>
      <c r="M9" s="507" t="s">
        <v>63</v>
      </c>
      <c r="N9" s="507" t="s">
        <v>58</v>
      </c>
      <c r="O9" s="507">
        <v>4</v>
      </c>
      <c r="P9" s="39"/>
      <c r="Q9" s="39"/>
      <c r="R9" s="39"/>
      <c r="S9" s="39"/>
    </row>
    <row r="10" spans="1:19" ht="12.75" customHeight="1">
      <c r="A10" s="483">
        <v>3</v>
      </c>
      <c r="B10" s="481">
        <v>5</v>
      </c>
      <c r="C10" s="508" t="s">
        <v>64</v>
      </c>
      <c r="D10" s="507" t="s">
        <v>73</v>
      </c>
      <c r="E10" s="507" t="s">
        <v>74</v>
      </c>
      <c r="F10" s="507" t="s">
        <v>57</v>
      </c>
      <c r="G10" s="509">
        <v>37335</v>
      </c>
      <c r="H10" s="507">
        <v>23</v>
      </c>
      <c r="I10" s="507" t="s">
        <v>61</v>
      </c>
      <c r="J10" s="507"/>
      <c r="K10" s="507" t="s">
        <v>56</v>
      </c>
      <c r="L10" s="507" t="s">
        <v>62</v>
      </c>
      <c r="M10" s="507" t="s">
        <v>63</v>
      </c>
      <c r="N10" s="507" t="s">
        <v>58</v>
      </c>
      <c r="O10" s="512" t="s">
        <v>89</v>
      </c>
      <c r="P10" s="39"/>
      <c r="Q10" s="39"/>
      <c r="R10" s="39"/>
      <c r="S10" s="39"/>
    </row>
    <row r="11" spans="1:19" ht="12.75" customHeight="1">
      <c r="A11" s="483">
        <v>4</v>
      </c>
      <c r="B11" s="481">
        <v>3</v>
      </c>
      <c r="C11" s="508" t="s">
        <v>64</v>
      </c>
      <c r="D11" s="507" t="s">
        <v>75</v>
      </c>
      <c r="E11" s="507" t="s">
        <v>76</v>
      </c>
      <c r="F11" s="507" t="s">
        <v>77</v>
      </c>
      <c r="G11" s="509">
        <v>38159</v>
      </c>
      <c r="H11" s="507">
        <v>21</v>
      </c>
      <c r="I11" s="507" t="s">
        <v>61</v>
      </c>
      <c r="J11" s="507"/>
      <c r="K11" s="507" t="s">
        <v>56</v>
      </c>
      <c r="L11" s="507" t="s">
        <v>62</v>
      </c>
      <c r="M11" s="507" t="s">
        <v>63</v>
      </c>
      <c r="N11" s="507" t="s">
        <v>58</v>
      </c>
      <c r="O11" s="512" t="s">
        <v>87</v>
      </c>
      <c r="P11" s="39"/>
      <c r="Q11" s="39"/>
      <c r="R11" s="39"/>
      <c r="S11" s="39"/>
    </row>
    <row r="12" spans="1:19" ht="12.65" customHeight="1">
      <c r="A12" s="483">
        <v>5</v>
      </c>
      <c r="B12" s="481">
        <v>2</v>
      </c>
      <c r="C12" s="508" t="s">
        <v>64</v>
      </c>
      <c r="D12" s="507" t="s">
        <v>78</v>
      </c>
      <c r="E12" s="507" t="s">
        <v>79</v>
      </c>
      <c r="F12" s="507" t="s">
        <v>80</v>
      </c>
      <c r="G12" s="509">
        <v>38764</v>
      </c>
      <c r="H12" s="507">
        <v>19</v>
      </c>
      <c r="I12" s="507" t="s">
        <v>86</v>
      </c>
      <c r="J12" s="507"/>
      <c r="K12" s="507" t="s">
        <v>56</v>
      </c>
      <c r="L12" s="507" t="s">
        <v>81</v>
      </c>
      <c r="M12" s="507" t="s">
        <v>63</v>
      </c>
      <c r="N12" s="507" t="s">
        <v>82</v>
      </c>
      <c r="O12" s="507">
        <v>2</v>
      </c>
      <c r="P12" s="39"/>
      <c r="Q12" s="39"/>
      <c r="R12" s="39"/>
      <c r="S12" s="39"/>
    </row>
    <row r="13" spans="1:19" ht="12.75" customHeight="1">
      <c r="A13" s="489">
        <v>6</v>
      </c>
      <c r="B13" s="482">
        <v>6</v>
      </c>
      <c r="C13" s="508" t="s">
        <v>64</v>
      </c>
      <c r="D13" s="507" t="s">
        <v>83</v>
      </c>
      <c r="E13" s="507" t="s">
        <v>84</v>
      </c>
      <c r="F13" s="507" t="s">
        <v>85</v>
      </c>
      <c r="G13" s="509">
        <v>38910</v>
      </c>
      <c r="H13" s="507">
        <v>19</v>
      </c>
      <c r="I13" s="507" t="s">
        <v>61</v>
      </c>
      <c r="J13" s="507" t="s">
        <v>60</v>
      </c>
      <c r="K13" s="507" t="s">
        <v>56</v>
      </c>
      <c r="L13" s="507" t="s">
        <v>62</v>
      </c>
      <c r="M13" s="507" t="s">
        <v>63</v>
      </c>
      <c r="N13" s="507" t="s">
        <v>58</v>
      </c>
      <c r="O13" s="512" t="s">
        <v>87</v>
      </c>
      <c r="P13" s="39"/>
      <c r="Q13" s="39"/>
      <c r="R13" s="39"/>
      <c r="S13" s="39"/>
    </row>
    <row r="14" spans="1:19" ht="12.75" hidden="1" customHeight="1">
      <c r="A14" s="483">
        <v>7</v>
      </c>
      <c r="B14" s="481">
        <v>7</v>
      </c>
      <c r="C14" s="482"/>
      <c r="D14" s="510"/>
      <c r="E14" s="510"/>
      <c r="F14" s="510"/>
      <c r="G14" s="511"/>
      <c r="H14" s="499"/>
      <c r="I14" s="499"/>
      <c r="J14" s="500"/>
      <c r="K14" s="503"/>
      <c r="L14" s="504"/>
      <c r="M14" s="505"/>
      <c r="N14" s="501"/>
      <c r="O14" s="506"/>
      <c r="P14" s="39"/>
      <c r="Q14" s="39"/>
      <c r="R14" s="39"/>
      <c r="S14" s="39"/>
    </row>
    <row r="15" spans="1:19" ht="16.5" hidden="1" customHeight="1">
      <c r="A15" s="483">
        <v>8</v>
      </c>
      <c r="B15" s="481">
        <v>8</v>
      </c>
      <c r="C15" s="481"/>
      <c r="D15" s="484"/>
      <c r="E15" s="484"/>
      <c r="F15" s="484"/>
      <c r="G15" s="485"/>
      <c r="H15" s="486"/>
      <c r="I15" s="494"/>
      <c r="J15" s="487"/>
      <c r="K15" s="488"/>
      <c r="L15" s="495"/>
      <c r="M15" s="498"/>
      <c r="N15" s="496"/>
      <c r="O15" s="497"/>
      <c r="P15" s="39"/>
      <c r="Q15" s="39"/>
      <c r="R15" s="39"/>
      <c r="S15" s="39"/>
    </row>
    <row r="16" spans="1:19" ht="12.75" hidden="1" customHeight="1">
      <c r="A16" s="483">
        <v>9</v>
      </c>
      <c r="B16" s="481">
        <v>9</v>
      </c>
      <c r="C16" s="481"/>
      <c r="D16" s="484"/>
      <c r="E16" s="484"/>
      <c r="F16" s="484"/>
      <c r="G16" s="485"/>
      <c r="H16" s="486"/>
      <c r="I16" s="486"/>
      <c r="J16" s="487"/>
      <c r="K16" s="488"/>
      <c r="L16" s="495"/>
      <c r="M16" s="498"/>
      <c r="N16" s="496"/>
      <c r="O16" s="497"/>
      <c r="P16" s="39"/>
      <c r="Q16" s="39"/>
      <c r="R16" s="39"/>
      <c r="S16" s="39"/>
    </row>
    <row r="17" spans="1:19" ht="12.75" hidden="1" customHeight="1">
      <c r="A17" s="483">
        <v>10</v>
      </c>
      <c r="B17" s="481">
        <v>10</v>
      </c>
      <c r="C17" s="481"/>
      <c r="D17" s="490"/>
      <c r="E17" s="490"/>
      <c r="F17" s="491"/>
      <c r="G17" s="492"/>
      <c r="H17" s="493"/>
      <c r="I17" s="486"/>
      <c r="J17" s="487"/>
      <c r="K17" s="488"/>
      <c r="L17" s="495"/>
      <c r="M17" s="498"/>
      <c r="N17" s="496"/>
      <c r="O17" s="497"/>
      <c r="P17" s="39"/>
      <c r="Q17" s="39"/>
      <c r="R17" s="39"/>
      <c r="S17" s="39"/>
    </row>
    <row r="18" spans="1:19" ht="12.75" hidden="1" customHeight="1">
      <c r="A18" s="192">
        <v>11</v>
      </c>
      <c r="B18" s="192">
        <v>11</v>
      </c>
      <c r="C18" s="192"/>
      <c r="D18" s="193"/>
      <c r="E18" s="194"/>
      <c r="F18" s="194"/>
      <c r="G18" s="195"/>
      <c r="H18" s="192"/>
      <c r="I18" s="192"/>
      <c r="J18" s="196"/>
      <c r="K18" s="75"/>
      <c r="L18" s="197"/>
      <c r="M18" s="197"/>
      <c r="N18" s="192"/>
      <c r="O18" s="477"/>
      <c r="P18" s="39"/>
      <c r="Q18" s="39"/>
      <c r="R18" s="39"/>
      <c r="S18" s="39"/>
    </row>
    <row r="19" spans="1:19" ht="12.75" hidden="1" customHeight="1">
      <c r="A19" s="192">
        <v>12</v>
      </c>
      <c r="B19" s="192">
        <v>12</v>
      </c>
      <c r="C19" s="192"/>
      <c r="D19" s="193"/>
      <c r="E19" s="194"/>
      <c r="F19" s="194"/>
      <c r="G19" s="195"/>
      <c r="H19" s="192"/>
      <c r="I19" s="192"/>
      <c r="J19" s="196"/>
      <c r="K19" s="75"/>
      <c r="L19" s="197"/>
      <c r="M19" s="197"/>
      <c r="N19" s="192"/>
      <c r="O19" s="477"/>
      <c r="P19" s="39"/>
      <c r="Q19" s="39"/>
      <c r="R19" s="39"/>
      <c r="S19" s="39"/>
    </row>
    <row r="20" spans="1:19" ht="12.75" hidden="1" customHeight="1">
      <c r="A20" s="192">
        <v>13</v>
      </c>
      <c r="B20" s="192">
        <v>13</v>
      </c>
      <c r="C20" s="192"/>
      <c r="D20" s="193"/>
      <c r="E20" s="194"/>
      <c r="F20" s="194"/>
      <c r="G20" s="195"/>
      <c r="H20" s="192"/>
      <c r="I20" s="192"/>
      <c r="J20" s="196"/>
      <c r="K20" s="75"/>
      <c r="L20" s="197"/>
      <c r="M20" s="197"/>
      <c r="N20" s="192"/>
      <c r="O20" s="477"/>
      <c r="P20" s="39"/>
      <c r="Q20" s="39"/>
      <c r="R20" s="39"/>
      <c r="S20" s="39"/>
    </row>
    <row r="21" spans="1:19" ht="12.75" hidden="1" customHeight="1">
      <c r="A21" s="192">
        <v>14</v>
      </c>
      <c r="B21" s="192">
        <v>14</v>
      </c>
      <c r="C21" s="192"/>
      <c r="D21" s="193"/>
      <c r="E21" s="194"/>
      <c r="F21" s="194"/>
      <c r="G21" s="195"/>
      <c r="H21" s="192"/>
      <c r="I21" s="192"/>
      <c r="J21" s="196"/>
      <c r="K21" s="75"/>
      <c r="L21" s="197"/>
      <c r="M21" s="197"/>
      <c r="N21" s="192"/>
      <c r="O21" s="477"/>
      <c r="P21" s="39"/>
      <c r="Q21" s="39"/>
      <c r="R21" s="39"/>
      <c r="S21" s="39"/>
    </row>
    <row r="22" spans="1:19" ht="12.75" hidden="1" customHeight="1">
      <c r="A22" s="192">
        <v>15</v>
      </c>
      <c r="B22" s="192">
        <v>15</v>
      </c>
      <c r="C22" s="192"/>
      <c r="D22" s="193"/>
      <c r="E22" s="194"/>
      <c r="F22" s="194"/>
      <c r="G22" s="195"/>
      <c r="H22" s="192"/>
      <c r="I22" s="192"/>
      <c r="J22" s="196"/>
      <c r="K22" s="75"/>
      <c r="L22" s="197"/>
      <c r="M22" s="197"/>
      <c r="N22" s="192"/>
      <c r="O22" s="477"/>
      <c r="P22" s="39"/>
      <c r="Q22" s="39"/>
      <c r="R22" s="39"/>
      <c r="S22" s="39"/>
    </row>
    <row r="23" spans="1:19" ht="12.75" hidden="1" customHeight="1">
      <c r="A23" s="192">
        <v>16</v>
      </c>
      <c r="B23" s="192">
        <v>16</v>
      </c>
      <c r="C23" s="192"/>
      <c r="D23" s="193"/>
      <c r="E23" s="194"/>
      <c r="F23" s="194"/>
      <c r="G23" s="195"/>
      <c r="H23" s="192"/>
      <c r="I23" s="192"/>
      <c r="J23" s="196"/>
      <c r="K23" s="75"/>
      <c r="L23" s="197"/>
      <c r="M23" s="197"/>
      <c r="N23" s="192"/>
      <c r="O23" s="477"/>
      <c r="P23" s="39"/>
      <c r="Q23" s="39"/>
      <c r="R23" s="39"/>
      <c r="S23" s="39"/>
    </row>
    <row r="24" spans="1:19" ht="12.75" hidden="1" customHeight="1">
      <c r="A24" s="192">
        <v>17</v>
      </c>
      <c r="B24" s="192">
        <v>17</v>
      </c>
      <c r="C24" s="192"/>
      <c r="D24" s="193"/>
      <c r="E24" s="194"/>
      <c r="F24" s="194"/>
      <c r="G24" s="195"/>
      <c r="H24" s="192"/>
      <c r="I24" s="192"/>
      <c r="J24" s="196"/>
      <c r="K24" s="75"/>
      <c r="L24" s="197"/>
      <c r="M24" s="197"/>
      <c r="N24" s="192"/>
      <c r="O24" s="477"/>
      <c r="P24" s="39"/>
      <c r="Q24" s="39"/>
      <c r="R24" s="39"/>
      <c r="S24" s="39"/>
    </row>
    <row r="25" spans="1:19" ht="12.75" hidden="1" customHeight="1">
      <c r="A25" s="192">
        <v>18</v>
      </c>
      <c r="B25" s="192">
        <v>18</v>
      </c>
      <c r="C25" s="192"/>
      <c r="D25" s="193"/>
      <c r="E25" s="194"/>
      <c r="F25" s="194"/>
      <c r="G25" s="195"/>
      <c r="H25" s="192"/>
      <c r="I25" s="192"/>
      <c r="J25" s="196"/>
      <c r="K25" s="75"/>
      <c r="L25" s="197"/>
      <c r="M25" s="197"/>
      <c r="N25" s="192"/>
      <c r="O25" s="477"/>
      <c r="P25" s="39"/>
      <c r="Q25" s="39"/>
      <c r="R25" s="39"/>
      <c r="S25" s="39"/>
    </row>
    <row r="26" spans="1:19" ht="12.75" hidden="1" customHeight="1">
      <c r="A26" s="192">
        <v>19</v>
      </c>
      <c r="B26" s="192">
        <v>19</v>
      </c>
      <c r="C26" s="192"/>
      <c r="D26" s="193"/>
      <c r="E26" s="194"/>
      <c r="F26" s="194"/>
      <c r="G26" s="195"/>
      <c r="H26" s="192"/>
      <c r="I26" s="192"/>
      <c r="J26" s="196"/>
      <c r="K26" s="75"/>
      <c r="L26" s="197"/>
      <c r="M26" s="197"/>
      <c r="N26" s="192"/>
      <c r="O26" s="477"/>
      <c r="P26" s="39"/>
      <c r="Q26" s="39"/>
      <c r="R26" s="39"/>
      <c r="S26" s="39"/>
    </row>
    <row r="27" spans="1:19" ht="12.75" hidden="1" customHeight="1">
      <c r="A27" s="192">
        <v>20</v>
      </c>
      <c r="B27" s="192">
        <v>20</v>
      </c>
      <c r="C27" s="192"/>
      <c r="D27" s="193"/>
      <c r="E27" s="194"/>
      <c r="F27" s="194"/>
      <c r="G27" s="195"/>
      <c r="H27" s="192"/>
      <c r="I27" s="192"/>
      <c r="J27" s="196"/>
      <c r="K27" s="75"/>
      <c r="L27" s="197"/>
      <c r="M27" s="197"/>
      <c r="N27" s="192"/>
      <c r="O27" s="477"/>
      <c r="P27" s="39"/>
      <c r="Q27" s="39"/>
      <c r="R27" s="39"/>
      <c r="S27" s="39"/>
    </row>
    <row r="28" spans="1:19" ht="12.75" hidden="1" customHeight="1">
      <c r="A28" s="192">
        <v>21</v>
      </c>
      <c r="B28" s="192">
        <v>21</v>
      </c>
      <c r="C28" s="192"/>
      <c r="D28" s="193"/>
      <c r="E28" s="194"/>
      <c r="F28" s="194"/>
      <c r="G28" s="195"/>
      <c r="H28" s="192"/>
      <c r="I28" s="192"/>
      <c r="J28" s="196"/>
      <c r="K28" s="75"/>
      <c r="L28" s="197"/>
      <c r="M28" s="197"/>
      <c r="N28" s="192"/>
      <c r="O28" s="477"/>
      <c r="P28" s="39"/>
      <c r="Q28" s="39"/>
      <c r="R28" s="39"/>
      <c r="S28" s="39"/>
    </row>
    <row r="29" spans="1:19" ht="12.75" hidden="1" customHeight="1">
      <c r="A29" s="192">
        <v>22</v>
      </c>
      <c r="B29" s="192">
        <v>22</v>
      </c>
      <c r="C29" s="192"/>
      <c r="D29" s="193"/>
      <c r="E29" s="194"/>
      <c r="F29" s="194"/>
      <c r="G29" s="195"/>
      <c r="H29" s="192"/>
      <c r="I29" s="192"/>
      <c r="J29" s="196"/>
      <c r="K29" s="75"/>
      <c r="L29" s="197"/>
      <c r="M29" s="197"/>
      <c r="N29" s="192"/>
      <c r="O29" s="477"/>
      <c r="P29" s="39"/>
      <c r="Q29" s="39"/>
      <c r="R29" s="39"/>
      <c r="S29" s="39"/>
    </row>
    <row r="30" spans="1:19" ht="12.75" hidden="1" customHeight="1">
      <c r="A30" s="192">
        <v>23</v>
      </c>
      <c r="B30" s="192">
        <v>23</v>
      </c>
      <c r="C30" s="192"/>
      <c r="D30" s="193"/>
      <c r="E30" s="194"/>
      <c r="F30" s="194"/>
      <c r="G30" s="195"/>
      <c r="H30" s="192"/>
      <c r="I30" s="192"/>
      <c r="J30" s="196"/>
      <c r="K30" s="75"/>
      <c r="L30" s="197"/>
      <c r="M30" s="197"/>
      <c r="N30" s="192"/>
      <c r="O30" s="477"/>
      <c r="P30" s="39"/>
      <c r="Q30" s="39"/>
      <c r="R30" s="39"/>
      <c r="S30" s="39"/>
    </row>
    <row r="31" spans="1:19" ht="12.75" hidden="1" customHeight="1">
      <c r="A31" s="192">
        <v>24</v>
      </c>
      <c r="B31" s="192">
        <v>24</v>
      </c>
      <c r="C31" s="192"/>
      <c r="D31" s="193"/>
      <c r="E31" s="194"/>
      <c r="F31" s="194"/>
      <c r="G31" s="195"/>
      <c r="H31" s="192"/>
      <c r="I31" s="192"/>
      <c r="J31" s="196"/>
      <c r="K31" s="75"/>
      <c r="L31" s="197"/>
      <c r="M31" s="197"/>
      <c r="N31" s="192"/>
      <c r="O31" s="477"/>
      <c r="P31" s="39"/>
      <c r="Q31" s="39"/>
      <c r="R31" s="39"/>
      <c r="S31" s="39"/>
    </row>
    <row r="32" spans="1:19" ht="12.65" hidden="1" customHeight="1">
      <c r="A32" s="192">
        <v>25</v>
      </c>
      <c r="B32" s="192">
        <v>25</v>
      </c>
      <c r="C32" s="192"/>
      <c r="D32" s="193"/>
      <c r="E32" s="194"/>
      <c r="F32" s="194"/>
      <c r="G32" s="195"/>
      <c r="H32" s="192"/>
      <c r="I32" s="192"/>
      <c r="J32" s="196"/>
      <c r="K32" s="75"/>
      <c r="L32" s="197"/>
      <c r="M32" s="197"/>
      <c r="N32" s="192"/>
      <c r="O32" s="477"/>
      <c r="P32" s="39"/>
      <c r="Q32" s="39"/>
      <c r="R32" s="39"/>
      <c r="S32" s="39"/>
    </row>
    <row r="33" spans="1:19" ht="12.75" hidden="1" customHeight="1">
      <c r="A33" s="192">
        <v>26</v>
      </c>
      <c r="B33" s="192">
        <v>26</v>
      </c>
      <c r="C33" s="192"/>
      <c r="D33" s="193"/>
      <c r="E33" s="194"/>
      <c r="F33" s="194"/>
      <c r="G33" s="195"/>
      <c r="H33" s="192"/>
      <c r="I33" s="192"/>
      <c r="J33" s="196"/>
      <c r="K33" s="75"/>
      <c r="L33" s="197"/>
      <c r="M33" s="197"/>
      <c r="N33" s="192"/>
      <c r="O33" s="477"/>
      <c r="P33" s="39"/>
      <c r="Q33" s="39"/>
      <c r="R33" s="39"/>
      <c r="S33" s="39"/>
    </row>
    <row r="34" spans="1:19" ht="12.75" hidden="1" customHeight="1">
      <c r="A34" s="192">
        <v>27</v>
      </c>
      <c r="B34" s="192">
        <v>27</v>
      </c>
      <c r="C34" s="192"/>
      <c r="D34" s="193"/>
      <c r="E34" s="194"/>
      <c r="F34" s="194"/>
      <c r="G34" s="195"/>
      <c r="H34" s="192"/>
      <c r="I34" s="192"/>
      <c r="J34" s="196"/>
      <c r="K34" s="75"/>
      <c r="L34" s="197"/>
      <c r="M34" s="197"/>
      <c r="N34" s="192"/>
      <c r="O34" s="477"/>
      <c r="P34" s="39"/>
      <c r="Q34" s="39"/>
      <c r="R34" s="39"/>
      <c r="S34" s="39"/>
    </row>
    <row r="35" spans="1:19" ht="12.75" hidden="1" customHeight="1">
      <c r="A35" s="192">
        <v>28</v>
      </c>
      <c r="B35" s="192">
        <v>28</v>
      </c>
      <c r="C35" s="192"/>
      <c r="D35" s="193"/>
      <c r="E35" s="194"/>
      <c r="F35" s="194"/>
      <c r="G35" s="195"/>
      <c r="H35" s="192"/>
      <c r="I35" s="192"/>
      <c r="J35" s="196"/>
      <c r="K35" s="75"/>
      <c r="L35" s="197"/>
      <c r="M35" s="197"/>
      <c r="N35" s="192"/>
      <c r="O35" s="477"/>
      <c r="P35" s="39"/>
      <c r="Q35" s="39"/>
      <c r="R35" s="39"/>
      <c r="S35" s="39"/>
    </row>
    <row r="36" spans="1:19" ht="12.75" hidden="1" customHeight="1">
      <c r="A36" s="192">
        <v>29</v>
      </c>
      <c r="B36" s="192">
        <v>29</v>
      </c>
      <c r="C36" s="192"/>
      <c r="D36" s="193"/>
      <c r="E36" s="194"/>
      <c r="F36" s="194"/>
      <c r="G36" s="195"/>
      <c r="H36" s="192"/>
      <c r="I36" s="192"/>
      <c r="J36" s="196"/>
      <c r="K36" s="75"/>
      <c r="L36" s="197"/>
      <c r="M36" s="197"/>
      <c r="N36" s="192"/>
      <c r="O36" s="477"/>
      <c r="P36" s="39"/>
      <c r="Q36" s="39"/>
      <c r="R36" s="39"/>
      <c r="S36" s="39"/>
    </row>
    <row r="37" spans="1:19" ht="12.75" hidden="1" customHeight="1">
      <c r="A37" s="192">
        <v>30</v>
      </c>
      <c r="B37" s="192">
        <v>30</v>
      </c>
      <c r="C37" s="192"/>
      <c r="D37" s="193"/>
      <c r="E37" s="194"/>
      <c r="F37" s="194"/>
      <c r="G37" s="195"/>
      <c r="H37" s="192"/>
      <c r="I37" s="192"/>
      <c r="J37" s="196"/>
      <c r="K37" s="75"/>
      <c r="L37" s="197"/>
      <c r="M37" s="197"/>
      <c r="N37" s="192"/>
      <c r="O37" s="477"/>
      <c r="P37" s="39"/>
      <c r="Q37" s="39"/>
      <c r="R37" s="39"/>
      <c r="S37" s="39"/>
    </row>
    <row r="38" spans="1:19" ht="12.75" hidden="1" customHeight="1">
      <c r="A38" s="192">
        <v>31</v>
      </c>
      <c r="B38" s="192">
        <v>31</v>
      </c>
      <c r="C38" s="192"/>
      <c r="D38" s="193"/>
      <c r="E38" s="194"/>
      <c r="F38" s="194"/>
      <c r="G38" s="195"/>
      <c r="H38" s="192"/>
      <c r="I38" s="192"/>
      <c r="J38" s="196"/>
      <c r="K38" s="75"/>
      <c r="L38" s="197"/>
      <c r="M38" s="197"/>
      <c r="N38" s="192"/>
      <c r="O38" s="477"/>
      <c r="P38" s="39"/>
      <c r="Q38" s="39"/>
      <c r="R38" s="39"/>
      <c r="S38" s="39"/>
    </row>
    <row r="39" spans="1:19" ht="12.75" hidden="1" customHeight="1">
      <c r="A39" s="198">
        <v>32</v>
      </c>
      <c r="B39" s="198">
        <v>32</v>
      </c>
      <c r="C39" s="198"/>
      <c r="D39" s="199"/>
      <c r="E39" s="200"/>
      <c r="F39" s="200"/>
      <c r="G39" s="201"/>
      <c r="H39" s="198"/>
      <c r="I39" s="198"/>
      <c r="J39" s="202"/>
      <c r="K39" s="75"/>
      <c r="L39" s="203"/>
      <c r="M39" s="203"/>
      <c r="N39" s="198"/>
      <c r="O39" s="478"/>
      <c r="P39" s="39"/>
      <c r="Q39" s="39"/>
      <c r="R39" s="39"/>
      <c r="S39" s="39"/>
    </row>
    <row r="40" spans="1:19" ht="12.75" hidden="1" customHeight="1">
      <c r="A40" s="192">
        <v>33</v>
      </c>
      <c r="B40" s="192">
        <v>33</v>
      </c>
      <c r="C40" s="192"/>
      <c r="D40" s="193"/>
      <c r="E40" s="194"/>
      <c r="F40" s="194"/>
      <c r="G40" s="195"/>
      <c r="H40" s="198"/>
      <c r="I40" s="192"/>
      <c r="J40" s="196"/>
      <c r="K40" s="75"/>
      <c r="L40" s="197"/>
      <c r="M40" s="197"/>
      <c r="N40" s="192"/>
      <c r="O40" s="477"/>
      <c r="P40" s="39"/>
      <c r="Q40" s="39"/>
      <c r="R40" s="39"/>
      <c r="S40" s="39"/>
    </row>
    <row r="41" spans="1:19" ht="12.75" hidden="1" customHeight="1">
      <c r="A41" s="192">
        <v>34</v>
      </c>
      <c r="B41" s="192">
        <v>34</v>
      </c>
      <c r="C41" s="192"/>
      <c r="D41" s="193"/>
      <c r="E41" s="194"/>
      <c r="F41" s="194"/>
      <c r="G41" s="195"/>
      <c r="H41" s="198"/>
      <c r="I41" s="192"/>
      <c r="J41" s="196"/>
      <c r="K41" s="75"/>
      <c r="L41" s="197"/>
      <c r="M41" s="197"/>
      <c r="N41" s="192"/>
      <c r="O41" s="477"/>
      <c r="P41" s="39"/>
      <c r="Q41" s="39"/>
      <c r="R41" s="39"/>
      <c r="S41" s="39"/>
    </row>
    <row r="42" spans="1:19" ht="1" hidden="1" customHeight="1">
      <c r="A42" s="192">
        <v>35</v>
      </c>
      <c r="B42" s="192">
        <v>35</v>
      </c>
      <c r="C42" s="192"/>
      <c r="D42" s="193"/>
      <c r="E42" s="194"/>
      <c r="F42" s="194"/>
      <c r="G42" s="195"/>
      <c r="H42" s="198"/>
      <c r="I42" s="192"/>
      <c r="J42" s="196"/>
      <c r="K42" s="75"/>
      <c r="L42" s="197"/>
      <c r="M42" s="197"/>
      <c r="N42" s="192"/>
      <c r="O42" s="477"/>
      <c r="P42" s="39"/>
      <c r="Q42" s="39"/>
      <c r="R42" s="39"/>
      <c r="S42" s="39"/>
    </row>
    <row r="43" spans="1:19" ht="12.65" hidden="1" customHeight="1">
      <c r="A43" s="198">
        <v>36</v>
      </c>
      <c r="B43" s="198">
        <v>36</v>
      </c>
      <c r="C43" s="198"/>
      <c r="D43" s="199"/>
      <c r="E43" s="200"/>
      <c r="F43" s="200"/>
      <c r="G43" s="201"/>
      <c r="H43" s="198"/>
      <c r="I43" s="198"/>
      <c r="J43" s="202"/>
      <c r="K43" s="75"/>
      <c r="L43" s="203"/>
      <c r="M43" s="203"/>
      <c r="N43" s="198"/>
      <c r="O43" s="478"/>
      <c r="P43" s="39"/>
      <c r="Q43" s="39"/>
      <c r="R43" s="39"/>
      <c r="S43" s="39"/>
    </row>
    <row r="44" spans="1:19" ht="9.65" hidden="1" customHeight="1">
      <c r="A44" s="192">
        <v>37</v>
      </c>
      <c r="B44" s="192">
        <v>37</v>
      </c>
      <c r="C44" s="192"/>
      <c r="D44" s="193"/>
      <c r="E44" s="194"/>
      <c r="F44" s="194"/>
      <c r="G44" s="195"/>
      <c r="H44" s="198"/>
      <c r="I44" s="192"/>
      <c r="J44" s="196"/>
      <c r="K44" s="75"/>
      <c r="L44" s="197"/>
      <c r="M44" s="197"/>
      <c r="N44" s="192"/>
      <c r="O44" s="477"/>
      <c r="P44" s="39"/>
      <c r="Q44" s="39"/>
      <c r="R44" s="39"/>
      <c r="S44" s="39"/>
    </row>
    <row r="45" spans="1:19" ht="12.65" hidden="1" customHeight="1">
      <c r="A45" s="192">
        <v>38</v>
      </c>
      <c r="B45" s="192">
        <v>38</v>
      </c>
      <c r="C45" s="192"/>
      <c r="D45" s="193"/>
      <c r="E45" s="194"/>
      <c r="F45" s="194"/>
      <c r="G45" s="195"/>
      <c r="H45" s="198"/>
      <c r="I45" s="192"/>
      <c r="J45" s="196"/>
      <c r="K45" s="75"/>
      <c r="L45" s="197"/>
      <c r="M45" s="197"/>
      <c r="N45" s="192"/>
      <c r="O45" s="477"/>
      <c r="P45" s="39"/>
      <c r="Q45" s="39"/>
      <c r="R45" s="39"/>
      <c r="S45" s="39"/>
    </row>
    <row r="46" spans="1:19" ht="12.65" hidden="1" customHeight="1">
      <c r="A46" s="192">
        <v>39</v>
      </c>
      <c r="B46" s="192">
        <v>39</v>
      </c>
      <c r="C46" s="192"/>
      <c r="D46" s="193"/>
      <c r="E46" s="194"/>
      <c r="F46" s="194"/>
      <c r="G46" s="195"/>
      <c r="H46" s="198"/>
      <c r="I46" s="192"/>
      <c r="J46" s="196"/>
      <c r="K46" s="75"/>
      <c r="L46" s="197"/>
      <c r="M46" s="197"/>
      <c r="N46" s="192"/>
      <c r="O46" s="477"/>
      <c r="P46" s="39"/>
      <c r="Q46" s="39"/>
      <c r="R46" s="39"/>
      <c r="S46" s="39"/>
    </row>
    <row r="47" spans="1:19" ht="12.65" hidden="1" customHeight="1">
      <c r="A47" s="198">
        <v>40</v>
      </c>
      <c r="B47" s="198">
        <v>40</v>
      </c>
      <c r="C47" s="198"/>
      <c r="D47" s="199"/>
      <c r="E47" s="200"/>
      <c r="F47" s="200"/>
      <c r="G47" s="201"/>
      <c r="H47" s="198"/>
      <c r="I47" s="198"/>
      <c r="J47" s="202"/>
      <c r="K47" s="75"/>
      <c r="L47" s="203"/>
      <c r="M47" s="203"/>
      <c r="N47" s="198"/>
      <c r="O47" s="478"/>
      <c r="P47" s="39"/>
      <c r="Q47" s="39"/>
      <c r="R47" s="39"/>
      <c r="S47" s="39"/>
    </row>
    <row r="48" spans="1:19" ht="12.65" hidden="1" customHeight="1">
      <c r="A48" s="192">
        <v>41</v>
      </c>
      <c r="B48" s="192">
        <v>41</v>
      </c>
      <c r="C48" s="192"/>
      <c r="D48" s="193"/>
      <c r="E48" s="194"/>
      <c r="F48" s="194"/>
      <c r="G48" s="195"/>
      <c r="H48" s="198"/>
      <c r="I48" s="192"/>
      <c r="J48" s="196"/>
      <c r="K48" s="75"/>
      <c r="L48" s="197"/>
      <c r="M48" s="197"/>
      <c r="N48" s="192"/>
      <c r="O48" s="477"/>
      <c r="P48" s="39"/>
      <c r="Q48" s="39"/>
      <c r="R48" s="39"/>
      <c r="S48" s="39"/>
    </row>
    <row r="49" spans="1:15" ht="12.65" hidden="1" customHeight="1">
      <c r="A49" s="192">
        <v>42</v>
      </c>
      <c r="B49" s="192">
        <v>42</v>
      </c>
      <c r="C49" s="192"/>
      <c r="D49" s="193"/>
      <c r="E49" s="194"/>
      <c r="F49" s="194"/>
      <c r="G49" s="195"/>
      <c r="H49" s="198"/>
      <c r="I49" s="192"/>
      <c r="J49" s="196"/>
      <c r="K49" s="75"/>
      <c r="L49" s="197"/>
      <c r="M49" s="197"/>
      <c r="N49" s="192"/>
      <c r="O49" s="477"/>
    </row>
    <row r="50" spans="1:15" ht="12.65" hidden="1" customHeight="1">
      <c r="A50" s="192">
        <v>43</v>
      </c>
      <c r="B50" s="192">
        <v>43</v>
      </c>
      <c r="C50" s="192"/>
      <c r="D50" s="193"/>
      <c r="E50" s="194"/>
      <c r="F50" s="194"/>
      <c r="G50" s="195"/>
      <c r="H50" s="198"/>
      <c r="I50" s="192"/>
      <c r="J50" s="196"/>
      <c r="K50" s="75"/>
      <c r="L50" s="197"/>
      <c r="M50" s="197"/>
      <c r="N50" s="192"/>
      <c r="O50" s="477"/>
    </row>
    <row r="51" spans="1:15" ht="12.65" hidden="1" customHeight="1">
      <c r="A51" s="198">
        <v>44</v>
      </c>
      <c r="B51" s="198">
        <v>44</v>
      </c>
      <c r="C51" s="198"/>
      <c r="D51" s="199"/>
      <c r="E51" s="200"/>
      <c r="F51" s="200"/>
      <c r="G51" s="201"/>
      <c r="H51" s="198"/>
      <c r="I51" s="198"/>
      <c r="J51" s="202"/>
      <c r="K51" s="75"/>
      <c r="L51" s="203"/>
      <c r="M51" s="203"/>
      <c r="N51" s="198"/>
      <c r="O51" s="478"/>
    </row>
    <row r="52" spans="1:15" ht="12.65" hidden="1" customHeight="1">
      <c r="A52" s="192">
        <v>45</v>
      </c>
      <c r="B52" s="192">
        <v>45</v>
      </c>
      <c r="C52" s="192"/>
      <c r="D52" s="194"/>
      <c r="E52" s="194"/>
      <c r="F52" s="194"/>
      <c r="G52" s="195"/>
      <c r="H52" s="198"/>
      <c r="I52" s="192"/>
      <c r="J52" s="196"/>
      <c r="K52" s="75"/>
      <c r="L52" s="197"/>
      <c r="M52" s="197"/>
      <c r="N52" s="192"/>
      <c r="O52" s="477"/>
    </row>
    <row r="53" spans="1:15" ht="1.4" hidden="1" customHeight="1">
      <c r="A53" s="192">
        <v>46</v>
      </c>
      <c r="B53" s="192">
        <v>46</v>
      </c>
      <c r="C53" s="192"/>
      <c r="D53" s="193"/>
      <c r="E53" s="194"/>
      <c r="F53" s="194"/>
      <c r="G53" s="195"/>
      <c r="H53" s="198"/>
      <c r="I53" s="192"/>
      <c r="J53" s="196"/>
      <c r="K53" s="75"/>
      <c r="L53" s="197"/>
      <c r="M53" s="197"/>
      <c r="N53" s="192"/>
      <c r="O53" s="477"/>
    </row>
    <row r="54" spans="1:15" ht="12.65" hidden="1" customHeight="1">
      <c r="A54" s="192">
        <v>47</v>
      </c>
      <c r="B54" s="192">
        <v>47</v>
      </c>
      <c r="C54" s="192"/>
      <c r="D54" s="193"/>
      <c r="E54" s="194"/>
      <c r="F54" s="194"/>
      <c r="G54" s="195"/>
      <c r="H54" s="198"/>
      <c r="I54" s="192"/>
      <c r="J54" s="196"/>
      <c r="K54" s="75"/>
      <c r="L54" s="197"/>
      <c r="M54" s="197"/>
      <c r="N54" s="192"/>
      <c r="O54" s="477"/>
    </row>
    <row r="55" spans="1:15" ht="12.65" hidden="1" customHeight="1">
      <c r="A55" s="198">
        <v>48</v>
      </c>
      <c r="B55" s="198">
        <v>48</v>
      </c>
      <c r="C55" s="198"/>
      <c r="D55" s="199"/>
      <c r="E55" s="200"/>
      <c r="F55" s="200"/>
      <c r="G55" s="201"/>
      <c r="H55" s="198"/>
      <c r="I55" s="198"/>
      <c r="J55" s="202"/>
      <c r="K55" s="75"/>
      <c r="L55" s="203"/>
      <c r="M55" s="203"/>
      <c r="N55" s="198"/>
      <c r="O55" s="478"/>
    </row>
    <row r="56" spans="1:15" ht="12.65" hidden="1" customHeight="1">
      <c r="A56" s="192">
        <v>49</v>
      </c>
      <c r="B56" s="192">
        <v>49</v>
      </c>
      <c r="C56" s="192"/>
      <c r="D56" s="193"/>
      <c r="E56" s="194"/>
      <c r="F56" s="194"/>
      <c r="G56" s="195"/>
      <c r="H56" s="198"/>
      <c r="I56" s="192"/>
      <c r="J56" s="196"/>
      <c r="K56" s="75"/>
      <c r="L56" s="197"/>
      <c r="M56" s="197"/>
      <c r="N56" s="192"/>
      <c r="O56" s="477"/>
    </row>
    <row r="57" spans="1:15" ht="12.65" hidden="1" customHeight="1">
      <c r="A57" s="192">
        <v>50</v>
      </c>
      <c r="B57" s="192">
        <v>50</v>
      </c>
      <c r="C57" s="192"/>
      <c r="D57" s="193"/>
      <c r="E57" s="194"/>
      <c r="F57" s="194"/>
      <c r="G57" s="195"/>
      <c r="H57" s="198"/>
      <c r="I57" s="192"/>
      <c r="J57" s="196"/>
      <c r="K57" s="75"/>
      <c r="L57" s="197"/>
      <c r="M57" s="197"/>
      <c r="N57" s="192"/>
      <c r="O57" s="477"/>
    </row>
    <row r="58" spans="1:15" ht="12.65" hidden="1" customHeight="1">
      <c r="A58" s="192">
        <v>51</v>
      </c>
      <c r="B58" s="192">
        <v>51</v>
      </c>
      <c r="C58" s="192"/>
      <c r="D58" s="193"/>
      <c r="E58" s="194"/>
      <c r="F58" s="194"/>
      <c r="G58" s="195"/>
      <c r="H58" s="198"/>
      <c r="I58" s="192"/>
      <c r="J58" s="196"/>
      <c r="K58" s="75"/>
      <c r="L58" s="197"/>
      <c r="M58" s="197"/>
      <c r="N58" s="192"/>
      <c r="O58" s="477"/>
    </row>
    <row r="59" spans="1:15" ht="12.65" hidden="1" customHeight="1">
      <c r="A59" s="198">
        <v>52</v>
      </c>
      <c r="B59" s="198">
        <v>52</v>
      </c>
      <c r="C59" s="198"/>
      <c r="D59" s="199"/>
      <c r="E59" s="200"/>
      <c r="F59" s="200"/>
      <c r="G59" s="201"/>
      <c r="H59" s="198"/>
      <c r="I59" s="198"/>
      <c r="J59" s="202"/>
      <c r="K59" s="75"/>
      <c r="L59" s="203"/>
      <c r="M59" s="203"/>
      <c r="N59" s="198"/>
      <c r="O59" s="478"/>
    </row>
    <row r="60" spans="1:15" ht="12.65" hidden="1" customHeight="1">
      <c r="A60" s="192">
        <v>53</v>
      </c>
      <c r="B60" s="192">
        <v>53</v>
      </c>
      <c r="C60" s="192"/>
      <c r="D60" s="193"/>
      <c r="E60" s="194"/>
      <c r="F60" s="194"/>
      <c r="G60" s="195"/>
      <c r="H60" s="198"/>
      <c r="I60" s="192"/>
      <c r="J60" s="196"/>
      <c r="K60" s="75"/>
      <c r="L60" s="197"/>
      <c r="M60" s="197"/>
      <c r="N60" s="192"/>
      <c r="O60" s="477"/>
    </row>
    <row r="61" spans="1:15" ht="12.65" hidden="1" customHeight="1">
      <c r="A61" s="192">
        <v>54</v>
      </c>
      <c r="B61" s="192">
        <v>54</v>
      </c>
      <c r="C61" s="192"/>
      <c r="D61" s="193"/>
      <c r="E61" s="194"/>
      <c r="F61" s="194"/>
      <c r="G61" s="195"/>
      <c r="H61" s="198"/>
      <c r="I61" s="192"/>
      <c r="J61" s="196"/>
      <c r="K61" s="75"/>
      <c r="L61" s="197"/>
      <c r="M61" s="197"/>
      <c r="N61" s="192"/>
      <c r="O61" s="477"/>
    </row>
    <row r="62" spans="1:15" ht="12.65" hidden="1" customHeight="1">
      <c r="A62" s="192">
        <v>55</v>
      </c>
      <c r="B62" s="192">
        <v>55</v>
      </c>
      <c r="C62" s="192"/>
      <c r="D62" s="193"/>
      <c r="E62" s="194"/>
      <c r="F62" s="194"/>
      <c r="G62" s="195"/>
      <c r="H62" s="198"/>
      <c r="I62" s="192"/>
      <c r="J62" s="196"/>
      <c r="K62" s="75"/>
      <c r="L62" s="197"/>
      <c r="M62" s="197"/>
      <c r="N62" s="192"/>
      <c r="O62" s="477"/>
    </row>
    <row r="63" spans="1:15" ht="12.65" hidden="1" customHeight="1">
      <c r="A63" s="198">
        <v>56</v>
      </c>
      <c r="B63" s="198">
        <v>56</v>
      </c>
      <c r="C63" s="198"/>
      <c r="D63" s="199"/>
      <c r="E63" s="200"/>
      <c r="F63" s="200"/>
      <c r="G63" s="201"/>
      <c r="H63" s="198"/>
      <c r="I63" s="198"/>
      <c r="J63" s="202"/>
      <c r="K63" s="75"/>
      <c r="L63" s="203"/>
      <c r="M63" s="203"/>
      <c r="N63" s="198"/>
      <c r="O63" s="478"/>
    </row>
    <row r="64" spans="1:15" ht="12.65" hidden="1" customHeight="1">
      <c r="A64" s="192">
        <v>57</v>
      </c>
      <c r="B64" s="192">
        <v>57</v>
      </c>
      <c r="C64" s="192"/>
      <c r="D64" s="193"/>
      <c r="E64" s="194"/>
      <c r="F64" s="194"/>
      <c r="G64" s="195"/>
      <c r="H64" s="198"/>
      <c r="I64" s="192"/>
      <c r="J64" s="196"/>
      <c r="K64" s="75"/>
      <c r="L64" s="197"/>
      <c r="M64" s="197"/>
      <c r="N64" s="192"/>
      <c r="O64" s="477"/>
    </row>
    <row r="65" spans="1:15" ht="12.65" hidden="1" customHeight="1">
      <c r="A65" s="192">
        <v>58</v>
      </c>
      <c r="B65" s="192">
        <v>58</v>
      </c>
      <c r="C65" s="192"/>
      <c r="D65" s="193"/>
      <c r="E65" s="194"/>
      <c r="F65" s="194"/>
      <c r="G65" s="195"/>
      <c r="H65" s="198"/>
      <c r="I65" s="192"/>
      <c r="J65" s="196"/>
      <c r="K65" s="75"/>
      <c r="L65" s="197"/>
      <c r="M65" s="197"/>
      <c r="N65" s="192"/>
      <c r="O65" s="477"/>
    </row>
    <row r="66" spans="1:15" ht="12.65" hidden="1" customHeight="1">
      <c r="A66" s="192">
        <v>59</v>
      </c>
      <c r="B66" s="192">
        <v>59</v>
      </c>
      <c r="C66" s="192"/>
      <c r="D66" s="193"/>
      <c r="E66" s="194"/>
      <c r="F66" s="194"/>
      <c r="G66" s="195"/>
      <c r="H66" s="198"/>
      <c r="I66" s="192"/>
      <c r="J66" s="196"/>
      <c r="K66" s="75"/>
      <c r="L66" s="197"/>
      <c r="M66" s="197"/>
      <c r="N66" s="192"/>
      <c r="O66" s="477"/>
    </row>
    <row r="67" spans="1:15" ht="12.65" hidden="1" customHeight="1">
      <c r="A67" s="198">
        <v>60</v>
      </c>
      <c r="B67" s="198">
        <v>60</v>
      </c>
      <c r="C67" s="198"/>
      <c r="D67" s="199"/>
      <c r="E67" s="200"/>
      <c r="F67" s="200"/>
      <c r="G67" s="201"/>
      <c r="H67" s="198"/>
      <c r="I67" s="198"/>
      <c r="J67" s="202"/>
      <c r="K67" s="75"/>
      <c r="L67" s="203"/>
      <c r="M67" s="203"/>
      <c r="N67" s="198"/>
      <c r="O67" s="478"/>
    </row>
    <row r="68" spans="1:15" ht="12.65" hidden="1" customHeight="1">
      <c r="A68" s="192">
        <v>61</v>
      </c>
      <c r="B68" s="192">
        <v>61</v>
      </c>
      <c r="C68" s="192"/>
      <c r="D68" s="193"/>
      <c r="E68" s="194"/>
      <c r="F68" s="194"/>
      <c r="G68" s="195"/>
      <c r="H68" s="198"/>
      <c r="I68" s="192"/>
      <c r="J68" s="196"/>
      <c r="K68" s="75"/>
      <c r="L68" s="197"/>
      <c r="M68" s="197"/>
      <c r="N68" s="192"/>
      <c r="O68" s="477"/>
    </row>
    <row r="69" spans="1:15" ht="12.65" hidden="1" customHeight="1">
      <c r="A69" s="192">
        <v>62</v>
      </c>
      <c r="B69" s="192">
        <v>62</v>
      </c>
      <c r="C69" s="192"/>
      <c r="D69" s="193"/>
      <c r="E69" s="194"/>
      <c r="F69" s="194"/>
      <c r="G69" s="195"/>
      <c r="H69" s="198"/>
      <c r="I69" s="192"/>
      <c r="J69" s="196"/>
      <c r="K69" s="75"/>
      <c r="L69" s="197"/>
      <c r="M69" s="197"/>
      <c r="N69" s="192"/>
      <c r="O69" s="477"/>
    </row>
    <row r="70" spans="1:15" ht="16" hidden="1" customHeight="1">
      <c r="A70" s="192">
        <v>63</v>
      </c>
      <c r="B70" s="192">
        <v>63</v>
      </c>
      <c r="C70" s="192"/>
      <c r="D70" s="193"/>
      <c r="E70" s="194"/>
      <c r="F70" s="194"/>
      <c r="G70" s="195"/>
      <c r="H70" s="198"/>
      <c r="I70" s="192"/>
      <c r="J70" s="196"/>
      <c r="K70" s="75"/>
      <c r="L70" s="197"/>
      <c r="M70" s="197"/>
      <c r="N70" s="192"/>
      <c r="O70" s="477"/>
    </row>
    <row r="71" spans="1:15" ht="30" hidden="1" customHeight="1">
      <c r="A71" s="192">
        <v>64</v>
      </c>
      <c r="B71" s="192"/>
      <c r="C71" s="481"/>
      <c r="D71" s="484"/>
      <c r="E71" s="484"/>
      <c r="F71" s="484"/>
      <c r="G71" s="485"/>
      <c r="H71" s="486"/>
      <c r="I71" s="192"/>
      <c r="J71" s="196"/>
      <c r="K71" s="75"/>
      <c r="L71" s="197"/>
      <c r="M71" s="197"/>
      <c r="N71" s="192"/>
      <c r="O71" s="477"/>
    </row>
    <row r="72" spans="1:15" ht="12.75" customHeight="1">
      <c r="A72" s="7"/>
      <c r="B72" s="7"/>
      <c r="C72" s="8"/>
      <c r="F72" s="9"/>
      <c r="G72" s="10"/>
      <c r="H72" s="11"/>
      <c r="O72" s="479"/>
    </row>
    <row r="73" spans="1:15" ht="18.75" customHeight="1">
      <c r="A73" s="7"/>
      <c r="B73" s="7"/>
      <c r="C73" s="8"/>
      <c r="F73" s="513" t="s">
        <v>14</v>
      </c>
      <c r="G73" s="513"/>
      <c r="H73" s="101"/>
      <c r="I73" s="102"/>
      <c r="J73" s="102"/>
      <c r="K73" s="103"/>
      <c r="L73" s="102"/>
      <c r="N73" s="248" t="s">
        <v>52</v>
      </c>
    </row>
    <row r="74" spans="1:15" ht="22.5" customHeight="1">
      <c r="A74" s="7"/>
      <c r="B74" s="7"/>
      <c r="C74" s="8"/>
      <c r="F74" s="513" t="s">
        <v>34</v>
      </c>
      <c r="G74" s="513"/>
      <c r="H74" s="101"/>
      <c r="I74" s="102"/>
      <c r="J74" s="102"/>
      <c r="K74" s="103"/>
      <c r="L74" s="102"/>
      <c r="N74" s="248" t="s">
        <v>55</v>
      </c>
    </row>
    <row r="75" spans="1:15" ht="12.75" customHeight="1">
      <c r="A75" s="7"/>
      <c r="B75" s="7"/>
      <c r="C75" s="8"/>
      <c r="F75" s="9"/>
      <c r="G75" s="10"/>
      <c r="H75" s="11"/>
    </row>
    <row r="76" spans="1:15" ht="12.75" customHeight="1">
      <c r="A76" s="7"/>
      <c r="B76" s="7"/>
      <c r="C76" s="8"/>
      <c r="F76" s="9"/>
      <c r="G76" s="10"/>
      <c r="H76" s="11"/>
    </row>
    <row r="77" spans="1:15" ht="12.75" customHeight="1">
      <c r="A77" s="7"/>
      <c r="B77" s="7"/>
      <c r="C77" s="8"/>
      <c r="F77" s="9"/>
      <c r="G77" s="10"/>
      <c r="H77" s="11"/>
    </row>
    <row r="78" spans="1:15" ht="10.5" customHeight="1">
      <c r="A78" s="7"/>
      <c r="B78" s="7"/>
      <c r="C78" s="8"/>
      <c r="F78" s="9"/>
      <c r="G78" s="10"/>
      <c r="H78" s="11"/>
    </row>
    <row r="79" spans="1:15" ht="10.5" customHeight="1">
      <c r="A79" s="7"/>
      <c r="B79" s="7"/>
      <c r="C79" s="8"/>
      <c r="F79" s="9"/>
      <c r="G79" s="10"/>
      <c r="H79" s="11"/>
    </row>
    <row r="80" spans="1:15" ht="10.5" customHeight="1">
      <c r="A80" s="7"/>
      <c r="B80" s="7"/>
      <c r="C80" s="8"/>
      <c r="F80" s="9"/>
      <c r="G80" s="10"/>
      <c r="H80" s="11"/>
    </row>
    <row r="81" spans="1:8" ht="10.5" customHeight="1">
      <c r="A81" s="7"/>
      <c r="B81" s="7"/>
      <c r="C81" s="8"/>
      <c r="F81" s="9"/>
      <c r="G81" s="10"/>
      <c r="H81" s="11"/>
    </row>
    <row r="82" spans="1:8" ht="10.5" customHeight="1">
      <c r="A82" s="7"/>
      <c r="B82" s="7"/>
      <c r="C82" s="8"/>
      <c r="F82" s="9"/>
      <c r="G82" s="10"/>
      <c r="H82" s="11"/>
    </row>
    <row r="83" spans="1:8" ht="10.5" customHeight="1">
      <c r="A83" s="7"/>
      <c r="B83" s="7"/>
      <c r="C83" s="8"/>
      <c r="F83" s="9"/>
      <c r="G83" s="10"/>
      <c r="H83" s="11"/>
    </row>
    <row r="84" spans="1:8" ht="10.5" customHeight="1">
      <c r="A84" s="7"/>
      <c r="B84" s="7"/>
      <c r="C84" s="8"/>
      <c r="F84" s="9"/>
      <c r="G84" s="10"/>
      <c r="H84" s="11"/>
    </row>
    <row r="85" spans="1:8" ht="10.5" customHeight="1">
      <c r="A85" s="7"/>
      <c r="B85" s="7"/>
      <c r="C85" s="8"/>
      <c r="F85" s="9"/>
      <c r="G85" s="10"/>
      <c r="H85" s="11"/>
    </row>
    <row r="86" spans="1:8" ht="10.5" customHeight="1">
      <c r="A86" s="7"/>
      <c r="B86" s="7"/>
      <c r="C86" s="8"/>
      <c r="F86" s="9"/>
      <c r="G86" s="10"/>
      <c r="H86" s="11"/>
    </row>
    <row r="87" spans="1:8" ht="10.5" customHeight="1">
      <c r="A87" s="7"/>
      <c r="B87" s="7"/>
      <c r="C87" s="8"/>
      <c r="F87" s="9"/>
      <c r="G87" s="10"/>
      <c r="H87" s="11"/>
    </row>
    <row r="88" spans="1:8" ht="10.5" customHeight="1">
      <c r="A88" s="7"/>
      <c r="B88" s="7"/>
      <c r="C88" s="8"/>
      <c r="F88" s="9"/>
      <c r="G88" s="10"/>
      <c r="H88" s="11"/>
    </row>
    <row r="89" spans="1:8" ht="10.5" customHeight="1">
      <c r="A89" s="7"/>
      <c r="B89" s="7"/>
      <c r="C89" s="8"/>
      <c r="F89" s="9"/>
      <c r="G89" s="10"/>
      <c r="H89" s="11"/>
    </row>
    <row r="90" spans="1:8" ht="10.5" customHeight="1">
      <c r="A90" s="7"/>
      <c r="B90" s="7"/>
      <c r="C90" s="8"/>
      <c r="F90" s="9"/>
      <c r="G90" s="10"/>
      <c r="H90" s="11"/>
    </row>
    <row r="91" spans="1:8" ht="10.5" customHeight="1">
      <c r="A91" s="7"/>
      <c r="B91" s="7"/>
      <c r="C91" s="8"/>
      <c r="F91" s="9"/>
      <c r="G91" s="10"/>
      <c r="H91" s="11"/>
    </row>
    <row r="92" spans="1:8" ht="10.5" customHeight="1">
      <c r="A92" s="7"/>
      <c r="B92" s="7"/>
      <c r="C92" s="8"/>
      <c r="F92" s="9"/>
      <c r="G92" s="10"/>
      <c r="H92" s="11"/>
    </row>
    <row r="93" spans="1:8" ht="10.5" customHeight="1">
      <c r="A93" s="7"/>
      <c r="B93" s="7"/>
      <c r="C93" s="8"/>
      <c r="F93" s="9"/>
      <c r="G93" s="10"/>
      <c r="H93" s="11"/>
    </row>
    <row r="94" spans="1:8" ht="10.5" customHeight="1">
      <c r="A94" s="7"/>
      <c r="B94" s="7"/>
      <c r="C94" s="8"/>
      <c r="F94" s="9"/>
      <c r="G94" s="10"/>
      <c r="H94" s="11"/>
    </row>
    <row r="95" spans="1:8" ht="10.5" customHeight="1">
      <c r="A95" s="7"/>
      <c r="B95" s="7"/>
      <c r="C95" s="8"/>
      <c r="F95" s="9"/>
      <c r="G95" s="10"/>
      <c r="H95" s="11"/>
    </row>
    <row r="96" spans="1:8" ht="10.5" customHeight="1">
      <c r="A96" s="7"/>
      <c r="B96" s="7"/>
      <c r="C96" s="8"/>
      <c r="F96" s="9"/>
      <c r="G96" s="10"/>
      <c r="H96" s="11"/>
    </row>
    <row r="97" spans="1:8" ht="10.5" customHeight="1">
      <c r="A97" s="7"/>
      <c r="B97" s="7"/>
      <c r="C97" s="8"/>
      <c r="F97" s="9"/>
      <c r="G97" s="10"/>
      <c r="H97" s="11"/>
    </row>
    <row r="98" spans="1:8" ht="2.25" customHeight="1">
      <c r="A98" s="12"/>
      <c r="B98" s="12"/>
      <c r="C98" s="12"/>
      <c r="D98" s="13"/>
      <c r="E98" s="3"/>
      <c r="F98" s="3"/>
      <c r="G98" s="3"/>
      <c r="H98" s="3"/>
    </row>
    <row r="99" spans="1:8" ht="12" customHeight="1">
      <c r="A99" s="14"/>
      <c r="B99" s="14"/>
      <c r="C99" s="14"/>
      <c r="D99" s="5"/>
      <c r="E99" s="5"/>
      <c r="F99" s="1"/>
      <c r="G99" s="1"/>
      <c r="H99" s="1"/>
    </row>
    <row r="100" spans="1:8" ht="14.25" customHeight="1">
      <c r="A100" s="2"/>
      <c r="B100" s="2"/>
      <c r="C100" s="2"/>
      <c r="D100" s="15"/>
      <c r="E100" s="16"/>
      <c r="F100" s="15"/>
      <c r="G100" s="16"/>
      <c r="H100" s="16"/>
    </row>
    <row r="101" spans="1:8" ht="10.5" customHeight="1">
      <c r="A101" s="1"/>
      <c r="B101" s="1"/>
      <c r="C101" s="1"/>
      <c r="D101" s="5"/>
      <c r="E101" s="5"/>
      <c r="F101" s="1"/>
      <c r="G101" s="1"/>
      <c r="H101" s="1"/>
    </row>
    <row r="102" spans="1:8" ht="18.75" customHeight="1">
      <c r="A102" s="1"/>
      <c r="B102" s="1"/>
      <c r="C102" s="1"/>
      <c r="D102" s="1"/>
      <c r="E102" s="1"/>
      <c r="F102" s="1"/>
      <c r="G102" s="1"/>
      <c r="H102" s="1"/>
    </row>
    <row r="103" spans="1:8" ht="15" customHeight="1"/>
    <row r="104" spans="1:8" ht="15" customHeight="1"/>
    <row r="105" spans="1:8" ht="15" customHeight="1"/>
    <row r="106" spans="1:8" ht="15" customHeight="1"/>
    <row r="107" spans="1:8" ht="15" customHeight="1"/>
    <row r="108" spans="1:8" ht="15" customHeight="1"/>
    <row r="109" spans="1:8" ht="15" customHeight="1"/>
    <row r="110" spans="1:8" ht="15" customHeight="1"/>
    <row r="111" spans="1:8" ht="12.75" customHeight="1"/>
    <row r="112" spans="1:8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spans="1:8" ht="12.75" customHeight="1"/>
    <row r="162" spans="1:8" ht="12.75" customHeight="1">
      <c r="A162" s="1"/>
      <c r="B162" s="1"/>
      <c r="C162" s="1"/>
      <c r="D162" s="1"/>
      <c r="E162" s="1"/>
      <c r="F162" s="1"/>
      <c r="G162" s="1"/>
      <c r="H162" s="1"/>
    </row>
    <row r="163" spans="1:8" ht="12.75" customHeight="1">
      <c r="A163" s="1"/>
      <c r="B163" s="1"/>
      <c r="C163" s="1"/>
      <c r="D163" s="1"/>
      <c r="E163" s="1"/>
      <c r="F163" s="1"/>
      <c r="G163" s="1"/>
      <c r="H163" s="1"/>
    </row>
    <row r="164" spans="1:8" ht="12.75" customHeight="1">
      <c r="A164" s="1"/>
      <c r="B164" s="1"/>
      <c r="C164" s="1"/>
      <c r="D164" s="1"/>
      <c r="E164" s="1"/>
      <c r="F164" s="1"/>
      <c r="G164" s="1"/>
      <c r="H164" s="1"/>
    </row>
    <row r="165" spans="1:8" ht="12.75" customHeight="1">
      <c r="A165" s="1"/>
      <c r="B165" s="1"/>
      <c r="C165" s="1"/>
      <c r="D165" s="1"/>
      <c r="E165" s="1"/>
      <c r="F165" s="1"/>
      <c r="G165" s="1"/>
      <c r="H165" s="1"/>
    </row>
    <row r="166" spans="1:8" ht="12.75" customHeight="1">
      <c r="A166" s="1"/>
      <c r="B166" s="1"/>
      <c r="C166" s="1"/>
      <c r="D166" s="1"/>
      <c r="E166" s="1"/>
      <c r="F166" s="1"/>
      <c r="G166" s="1"/>
      <c r="H166" s="1"/>
    </row>
  </sheetData>
  <sheetProtection formatCells="0" formatColumns="0" formatRows="0" insertColumns="0" insertRows="0" sort="0"/>
  <sortState ref="D8:M71">
    <sortCondition ref="L8:L71"/>
  </sortState>
  <mergeCells count="10">
    <mergeCell ref="F74:G74"/>
    <mergeCell ref="F73:G73"/>
    <mergeCell ref="A5:N5"/>
    <mergeCell ref="A1:N1"/>
    <mergeCell ref="L4:N4"/>
    <mergeCell ref="A2:N2"/>
    <mergeCell ref="A3:E3"/>
    <mergeCell ref="G3:J3"/>
    <mergeCell ref="G4:J4"/>
    <mergeCell ref="A4:E4"/>
  </mergeCells>
  <phoneticPr fontId="5" type="noConversion"/>
  <pageMargins left="0.5" right="0.16" top="0.19" bottom="0.34" header="0.11" footer="0.24"/>
  <pageSetup paperSize="9" orientation="landscape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"/>
  <dimension ref="A1:S51"/>
  <sheetViews>
    <sheetView showGridLines="0" workbookViewId="0">
      <selection activeCell="A8" sqref="A8"/>
    </sheetView>
  </sheetViews>
  <sheetFormatPr defaultColWidth="9.1796875" defaultRowHeight="13"/>
  <cols>
    <col min="1" max="1" width="1.81640625" style="104" bestFit="1" customWidth="1"/>
    <col min="2" max="2" width="5.7265625" style="104" bestFit="1" customWidth="1"/>
    <col min="3" max="3" width="33.81640625" style="104" customWidth="1"/>
    <col min="4" max="4" width="1.81640625" style="104" bestFit="1" customWidth="1"/>
    <col min="5" max="5" width="20.54296875" style="104" customWidth="1"/>
    <col min="6" max="6" width="1.81640625" style="104" bestFit="1" customWidth="1"/>
    <col min="7" max="7" width="20.54296875" style="104" customWidth="1"/>
    <col min="8" max="8" width="1.81640625" style="104" bestFit="1" customWidth="1"/>
    <col min="9" max="9" width="20.54296875" style="104" customWidth="1"/>
    <col min="10" max="24" width="3.453125" style="104" customWidth="1"/>
    <col min="25" max="16384" width="9.1796875" style="104"/>
  </cols>
  <sheetData>
    <row r="1" spans="1:19" ht="14">
      <c r="A1" s="534" t="str">
        <f>Регистрация!A1</f>
        <v xml:space="preserve"> Межмуниципальные соревнования по всестилевому каратэ "Первый старт" 27 сентября 2025 г.</v>
      </c>
      <c r="B1" s="534"/>
      <c r="C1" s="534"/>
      <c r="D1" s="534"/>
      <c r="E1" s="534"/>
      <c r="F1" s="534"/>
      <c r="G1" s="534"/>
      <c r="H1" s="534"/>
      <c r="I1" s="534"/>
      <c r="J1" s="76"/>
      <c r="K1" s="76"/>
      <c r="L1" s="76"/>
      <c r="M1" s="76"/>
      <c r="N1" s="76"/>
      <c r="O1" s="76"/>
      <c r="P1" s="76"/>
      <c r="Q1" s="76"/>
      <c r="R1" s="76"/>
    </row>
    <row r="2" spans="1:19" ht="6" customHeight="1">
      <c r="A2" s="139"/>
      <c r="B2" s="139"/>
      <c r="C2" s="139"/>
      <c r="D2" s="139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19" ht="12.75" customHeight="1">
      <c r="A3" s="535" t="str">
        <f>Регистрация!A2</f>
        <v>Вид спорта: ВСЕСТИЛЕВОЕ КАРАТЭ (номер-код вида спорта - 0900001411Я)</v>
      </c>
      <c r="B3" s="535"/>
      <c r="C3" s="535"/>
      <c r="D3" s="535"/>
      <c r="E3" s="535"/>
      <c r="F3" s="535"/>
      <c r="G3" s="535"/>
      <c r="H3" s="535"/>
      <c r="I3" s="535"/>
      <c r="J3" s="76"/>
      <c r="K3" s="76"/>
      <c r="L3" s="76"/>
      <c r="M3" s="76"/>
      <c r="N3" s="76"/>
      <c r="O3" s="76"/>
      <c r="P3" s="76"/>
      <c r="Q3" s="76"/>
      <c r="R3" s="76"/>
    </row>
    <row r="4" spans="1:19" ht="6.75" customHeight="1">
      <c r="A4" s="77"/>
      <c r="B4" s="77"/>
      <c r="C4" s="77"/>
      <c r="D4" s="77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19" ht="16.5" customHeight="1">
      <c r="A5" s="536" t="str">
        <f>Регистрация!A3</f>
        <v>Женщины 18 +  ОК-двоеборье</v>
      </c>
      <c r="B5" s="536"/>
      <c r="C5" s="536"/>
      <c r="D5" s="537" t="str">
        <f>Регистрация!G3</f>
        <v>г. Санкт-Петербург</v>
      </c>
      <c r="E5" s="537"/>
      <c r="F5" s="537"/>
      <c r="G5" s="537"/>
      <c r="H5" s="255"/>
      <c r="I5" s="143" t="str">
        <f>Регистрация!L3</f>
        <v>27 сентября 2025</v>
      </c>
      <c r="J5" s="533">
        <f>Регистрация!N3</f>
        <v>0</v>
      </c>
      <c r="K5" s="533"/>
      <c r="L5" s="533"/>
      <c r="M5" s="77"/>
      <c r="N5" s="77"/>
      <c r="O5" s="77"/>
      <c r="P5" s="77"/>
      <c r="Q5" s="144"/>
      <c r="R5" s="144"/>
    </row>
    <row r="6" spans="1:19" ht="12.7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19" ht="12.75" customHeight="1">
      <c r="A7" s="537" t="s">
        <v>18</v>
      </c>
      <c r="B7" s="537"/>
      <c r="C7" s="537"/>
      <c r="D7" s="537"/>
      <c r="E7" s="537"/>
      <c r="F7" s="537"/>
      <c r="G7" s="537"/>
      <c r="H7" s="537"/>
      <c r="I7" s="537"/>
      <c r="J7" s="77"/>
      <c r="K7" s="77"/>
      <c r="L7" s="77"/>
      <c r="M7" s="77"/>
      <c r="N7" s="77"/>
      <c r="O7" s="77"/>
      <c r="P7" s="77"/>
      <c r="Q7" s="144"/>
      <c r="R7" s="144"/>
    </row>
    <row r="8" spans="1:19" s="109" customFormat="1" ht="12.75" customHeight="1">
      <c r="A8" s="144"/>
      <c r="B8" s="144"/>
      <c r="C8" s="105"/>
      <c r="D8" s="106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19" s="261" customFormat="1" ht="12.75" customHeight="1">
      <c r="A9" s="99"/>
      <c r="B9" s="522"/>
      <c r="C9" s="522"/>
      <c r="D9" s="111"/>
      <c r="E9" s="111"/>
      <c r="F9" s="108"/>
      <c r="G9" s="108"/>
      <c r="H9" s="108"/>
      <c r="I9" s="84"/>
      <c r="J9" s="84"/>
      <c r="K9" s="84"/>
      <c r="L9" s="84"/>
      <c r="M9" s="108"/>
      <c r="N9" s="108"/>
      <c r="O9" s="108"/>
      <c r="P9" s="110"/>
      <c r="Q9" s="112"/>
      <c r="R9" s="112"/>
      <c r="S9" s="260"/>
    </row>
    <row r="10" spans="1:19" s="262" customFormat="1" ht="12.75" customHeight="1">
      <c r="A10" s="80">
        <v>1</v>
      </c>
      <c r="B10" s="523" t="str">
        <f>IF(Регистрация!$D$6&lt;A10," ",CONCATENATE(VLOOKUP(A10,Регистрация!$B$7:$N$39,3,FALSE)," ",VLOOKUP(A10,Регистрация!$B$7:$N$39,4,FALSE)," ","(",VLOOKUP(A10,Регистрация!$B$7:$N$39,11,FALSE),")"))</f>
        <v>Сугралиева Арина (Политех)</v>
      </c>
      <c r="C10" s="524"/>
      <c r="D10" s="524"/>
      <c r="E10" s="525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110"/>
      <c r="Q10" s="113"/>
      <c r="R10" s="113"/>
      <c r="S10" s="260"/>
    </row>
    <row r="11" spans="1:19" s="109" customFormat="1" ht="6" customHeight="1">
      <c r="A11" s="99"/>
      <c r="B11" s="114"/>
      <c r="C11" s="114"/>
      <c r="D11" s="99"/>
      <c r="E11" s="115"/>
      <c r="F11" s="108"/>
      <c r="G11" s="108"/>
      <c r="H11" s="108"/>
      <c r="I11" s="105"/>
      <c r="J11" s="108"/>
      <c r="K11" s="108"/>
      <c r="L11" s="105"/>
      <c r="M11" s="108"/>
      <c r="N11" s="108"/>
      <c r="O11" s="108"/>
      <c r="P11" s="254"/>
      <c r="Q11" s="105"/>
      <c r="R11" s="105"/>
      <c r="S11" s="132"/>
    </row>
    <row r="12" spans="1:19" s="261" customFormat="1" ht="12.75" customHeight="1">
      <c r="A12" s="99"/>
      <c r="B12" s="250"/>
      <c r="C12" s="250"/>
      <c r="D12" s="99"/>
      <c r="E12" s="116"/>
      <c r="F12" s="61"/>
      <c r="G12" s="79" t="str">
        <f>IF(F12=0," ",CONCATENATE(VLOOKUP(F12,Регистрация!$B$7:$N$39,3,FALSE)," ",VLOOKUP(F12,Регистрация!$B$7:$N$39,4,FALSE)))</f>
        <v xml:space="preserve"> </v>
      </c>
      <c r="H12" s="108"/>
      <c r="I12" s="108"/>
      <c r="J12" s="108"/>
      <c r="K12" s="108"/>
      <c r="L12" s="108"/>
      <c r="M12" s="108"/>
      <c r="N12" s="108"/>
      <c r="O12" s="105"/>
      <c r="P12" s="108"/>
      <c r="Q12" s="112"/>
      <c r="R12" s="112"/>
      <c r="S12" s="260"/>
    </row>
    <row r="13" spans="1:19" s="109" customFormat="1" ht="6" customHeight="1">
      <c r="D13" s="99"/>
      <c r="E13" s="117"/>
      <c r="F13" s="256"/>
      <c r="G13" s="118"/>
      <c r="H13" s="105"/>
      <c r="I13" s="105"/>
      <c r="J13" s="108"/>
      <c r="K13" s="108"/>
      <c r="L13" s="108"/>
      <c r="M13" s="108"/>
      <c r="N13" s="108"/>
      <c r="O13" s="105"/>
      <c r="P13" s="254"/>
      <c r="Q13" s="105"/>
      <c r="R13" s="105"/>
      <c r="S13" s="132"/>
    </row>
    <row r="14" spans="1:19" s="261" customFormat="1" ht="12.75" customHeight="1">
      <c r="A14" s="80">
        <v>3</v>
      </c>
      <c r="B14" s="523" t="str">
        <f>IF(Регистрация!$D$6&lt;A14," ",CONCATENATE(VLOOKUP(A14,Регистрация!$B$7:$N$39,3,FALSE)," ",VLOOKUP(A14,Регистрация!$B$7:$N$39,4,FALSE)," ","(",VLOOKUP(A14,Регистрация!$B$7:$N$39,11,FALSE),")"))</f>
        <v>Паранина Полина (Политех)</v>
      </c>
      <c r="C14" s="524"/>
      <c r="D14" s="524"/>
      <c r="E14" s="525"/>
      <c r="F14" s="256"/>
      <c r="G14" s="250"/>
      <c r="H14" s="105"/>
      <c r="I14" s="105"/>
      <c r="J14" s="108"/>
      <c r="K14" s="108"/>
      <c r="L14" s="108"/>
      <c r="M14" s="119"/>
      <c r="N14" s="119"/>
      <c r="O14" s="119"/>
      <c r="P14" s="119"/>
      <c r="Q14" s="112"/>
      <c r="R14" s="112"/>
      <c r="S14" s="260"/>
    </row>
    <row r="15" spans="1:19" ht="12.75" customHeight="1">
      <c r="A15" s="120"/>
      <c r="B15" s="250"/>
      <c r="C15" s="250"/>
      <c r="D15" s="120"/>
      <c r="E15" s="250"/>
      <c r="F15" s="256"/>
      <c r="G15" s="250"/>
      <c r="H15" s="105"/>
      <c r="I15" s="105"/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19" ht="12.75" customHeight="1">
      <c r="A16" s="120"/>
      <c r="B16" s="114"/>
      <c r="C16" s="114"/>
      <c r="D16" s="99"/>
      <c r="E16" s="250"/>
      <c r="F16" s="256"/>
      <c r="G16" s="250"/>
      <c r="H16" s="105"/>
      <c r="I16" s="105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2.75" customHeight="1">
      <c r="A17" s="80">
        <v>2</v>
      </c>
      <c r="B17" s="528" t="str">
        <f>IF(Регистрация!$D$6&lt;A17," ",CONCATENATE(VLOOKUP(A17,Регистрация!$B$7:$N$39,3,FALSE)," ",VLOOKUP(A17,Регистрация!$B$7:$N$39,4,FALSE)," ","(",VLOOKUP(A17,Регистрация!$B$7:$N$39,11,FALSE),")"))</f>
        <v>Хохлова Элина (WSKF)</v>
      </c>
      <c r="C17" s="528"/>
      <c r="D17" s="528"/>
      <c r="E17" s="528"/>
      <c r="F17" s="256"/>
      <c r="G17" s="250"/>
      <c r="H17" s="105"/>
      <c r="I17" s="105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6" customHeight="1">
      <c r="A18" s="120"/>
      <c r="B18" s="522"/>
      <c r="C18" s="522"/>
      <c r="D18" s="99"/>
      <c r="E18" s="116"/>
      <c r="F18" s="256"/>
      <c r="G18" s="124"/>
      <c r="H18" s="105"/>
      <c r="I18" s="105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2.75" customHeight="1">
      <c r="A19" s="120"/>
      <c r="B19" s="250"/>
      <c r="C19" s="250"/>
      <c r="D19" s="99"/>
      <c r="E19" s="116"/>
      <c r="F19" s="61"/>
      <c r="G19" s="79" t="str">
        <f>IF(F19=0," ",CONCATENATE(VLOOKUP(F19,Регистрация!$B$7:$N$39,3,FALSE)," ",VLOOKUP(F19,Регистрация!$B$7:$N$39,4,FALSE)))</f>
        <v xml:space="preserve"> </v>
      </c>
      <c r="H19" s="108"/>
      <c r="I19" s="105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6" customHeight="1">
      <c r="A20" s="120"/>
      <c r="B20" s="522"/>
      <c r="C20" s="522"/>
      <c r="D20" s="99"/>
      <c r="E20" s="116"/>
      <c r="F20" s="44"/>
      <c r="G20" s="111"/>
      <c r="H20" s="108"/>
      <c r="I20" s="125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2.75" customHeight="1">
      <c r="A21" s="126">
        <v>3</v>
      </c>
      <c r="B21" s="523" t="str">
        <f>IF(Регистрация!$D$6&lt;A21," ",CONCATENATE(VLOOKUP(A21,Регистрация!$B$7:$N$39,3,FALSE)," ",VLOOKUP(A21,Регистрация!$B$7:$N$39,4,FALSE)," ","(",VLOOKUP(A21,Регистрация!$B$7:$N$39,11,FALSE),")"))</f>
        <v>Паранина Полина (Политех)</v>
      </c>
      <c r="C21" s="524"/>
      <c r="D21" s="524"/>
      <c r="E21" s="525"/>
      <c r="F21" s="44"/>
      <c r="G21" s="108"/>
      <c r="H21" s="108"/>
      <c r="I21" s="108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12.75" customHeight="1">
      <c r="A22" s="120"/>
      <c r="B22" s="114"/>
      <c r="C22" s="114"/>
      <c r="D22" s="111"/>
      <c r="E22" s="111"/>
      <c r="F22" s="50"/>
      <c r="G22" s="110"/>
      <c r="H22" s="110"/>
      <c r="I22" s="11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2.75" customHeight="1">
      <c r="A23" s="120"/>
      <c r="B23" s="114"/>
      <c r="C23" s="114"/>
      <c r="D23" s="111"/>
      <c r="E23" s="111"/>
      <c r="F23" s="50"/>
      <c r="G23" s="110"/>
      <c r="H23" s="110"/>
      <c r="I23" s="110"/>
      <c r="J23" s="110"/>
      <c r="K23" s="110"/>
      <c r="L23" s="110"/>
      <c r="M23" s="110"/>
      <c r="N23" s="254"/>
      <c r="O23" s="254"/>
      <c r="P23" s="254"/>
      <c r="Q23" s="110"/>
      <c r="R23" s="122"/>
    </row>
    <row r="24" spans="1:18" ht="12.75" customHeight="1">
      <c r="A24" s="80">
        <v>1</v>
      </c>
      <c r="B24" s="528" t="str">
        <f>IF(Регистрация!$D$6&lt;A24," ",CONCATENATE(VLOOKUP(A24,Регистрация!$B$7:$N$39,3,FALSE)," ",VLOOKUP(A24,Регистрация!$B$7:$N$39,4,FALSE)," ","(",VLOOKUP(A24,Регистрация!$B$7:$N$39,11,FALSE),")"))</f>
        <v>Сугралиева Арина (Политех)</v>
      </c>
      <c r="C24" s="528"/>
      <c r="D24" s="528"/>
      <c r="E24" s="528"/>
      <c r="F24" s="256"/>
      <c r="G24" s="250"/>
      <c r="H24" s="110"/>
      <c r="I24" s="110"/>
      <c r="J24" s="110"/>
      <c r="K24" s="110"/>
      <c r="L24" s="110"/>
      <c r="M24" s="110"/>
      <c r="N24" s="254"/>
      <c r="O24" s="254"/>
      <c r="P24" s="254"/>
      <c r="Q24" s="110"/>
      <c r="R24" s="122"/>
    </row>
    <row r="25" spans="1:18" ht="6" customHeight="1">
      <c r="A25" s="120"/>
      <c r="B25" s="114"/>
      <c r="C25" s="114"/>
      <c r="D25" s="99"/>
      <c r="E25" s="116"/>
      <c r="F25" s="256"/>
      <c r="G25" s="124"/>
      <c r="H25" s="110"/>
      <c r="I25" s="110"/>
      <c r="J25" s="110"/>
      <c r="K25" s="110"/>
      <c r="L25" s="110"/>
      <c r="M25" s="110"/>
      <c r="N25" s="254"/>
      <c r="O25" s="254"/>
      <c r="P25" s="254"/>
      <c r="Q25" s="110"/>
      <c r="R25" s="122"/>
    </row>
    <row r="26" spans="1:18" ht="12.75" customHeight="1">
      <c r="A26" s="120"/>
      <c r="B26" s="250"/>
      <c r="C26" s="250"/>
      <c r="D26" s="99"/>
      <c r="E26" s="116"/>
      <c r="F26" s="61"/>
      <c r="G26" s="79" t="str">
        <f>IF(F26=0," ",CONCATENATE(VLOOKUP(F26,Регистрация!$B$7:$N$39,3,FALSE)," ",VLOOKUP(F26,Регистрация!$B$7:$N$39,4,FALSE)))</f>
        <v xml:space="preserve"> </v>
      </c>
      <c r="H26" s="110"/>
      <c r="I26" s="110"/>
      <c r="J26" s="110"/>
      <c r="K26" s="110"/>
      <c r="L26" s="110"/>
      <c r="M26" s="110"/>
      <c r="N26" s="254"/>
      <c r="O26" s="254"/>
      <c r="P26" s="254"/>
      <c r="Q26" s="110"/>
      <c r="R26" s="122"/>
    </row>
    <row r="27" spans="1:18" ht="6" customHeight="1">
      <c r="A27" s="120"/>
      <c r="B27" s="114"/>
      <c r="C27" s="114"/>
      <c r="D27" s="99"/>
      <c r="E27" s="116"/>
      <c r="F27" s="105"/>
      <c r="G27" s="111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12.75" customHeight="1">
      <c r="A28" s="126">
        <v>2</v>
      </c>
      <c r="B28" s="523" t="str">
        <f>IF(Регистрация!$D$6&lt;A28," ",CONCATENATE(VLOOKUP(A28,Регистрация!$B$7:$N$39,3,FALSE)," ",VLOOKUP(A28,Регистрация!$B$7:$N$39,4,FALSE)," ","(",VLOOKUP(A28,Регистрация!$B$7:$N$39,11,FALSE),")"))</f>
        <v>Хохлова Элина (WSKF)</v>
      </c>
      <c r="C28" s="524"/>
      <c r="D28" s="524"/>
      <c r="E28" s="525"/>
      <c r="F28" s="105"/>
      <c r="G28" s="108"/>
      <c r="H28" s="254"/>
      <c r="I28" s="254"/>
      <c r="J28" s="254"/>
      <c r="K28" s="127"/>
      <c r="L28" s="127"/>
      <c r="M28" s="254"/>
      <c r="N28" s="254"/>
      <c r="O28" s="254"/>
      <c r="P28" s="254"/>
      <c r="Q28" s="110"/>
      <c r="R28" s="122"/>
    </row>
    <row r="29" spans="1:18" ht="12.75" customHeight="1">
      <c r="D29" s="122"/>
      <c r="E29" s="128"/>
      <c r="F29" s="99"/>
      <c r="G29" s="100"/>
      <c r="H29" s="108"/>
      <c r="I29" s="108"/>
      <c r="J29" s="129"/>
      <c r="K29" s="129"/>
      <c r="L29" s="129"/>
      <c r="M29" s="129"/>
      <c r="N29" s="129"/>
      <c r="O29" s="129"/>
      <c r="P29" s="129"/>
      <c r="Q29" s="122"/>
      <c r="R29" s="122"/>
    </row>
    <row r="30" spans="1:18" ht="12.75" customHeight="1">
      <c r="F30" s="99"/>
      <c r="G30" s="250"/>
      <c r="H30" s="99"/>
      <c r="I30" s="100"/>
    </row>
    <row r="31" spans="1:18" ht="12.75" customHeight="1">
      <c r="F31" s="99"/>
      <c r="G31" s="100"/>
      <c r="H31" s="108"/>
      <c r="I31" s="105"/>
    </row>
    <row r="32" spans="1:18" ht="7.5" customHeight="1">
      <c r="F32" s="99"/>
      <c r="G32" s="111"/>
      <c r="H32" s="108"/>
      <c r="I32" s="105"/>
    </row>
    <row r="33" spans="1:8" ht="17.25" customHeight="1">
      <c r="B33" s="526" t="s">
        <v>16</v>
      </c>
      <c r="C33" s="526"/>
      <c r="D33" s="526"/>
      <c r="E33" s="526"/>
    </row>
    <row r="34" spans="1:8" ht="13.5" customHeight="1">
      <c r="A34" s="81"/>
      <c r="B34" s="130" t="s">
        <v>1</v>
      </c>
      <c r="C34" s="529" t="s">
        <v>17</v>
      </c>
      <c r="D34" s="530"/>
      <c r="E34" s="531"/>
    </row>
    <row r="35" spans="1:8" ht="13.5" customHeight="1">
      <c r="A35" s="64"/>
      <c r="B35" s="82">
        <v>1</v>
      </c>
      <c r="C35" s="532" t="str">
        <f>IF(A35=0," ",CONCATENATE(VLOOKUP(A35,Регистрация!$B$7:$N$39,3,FALSE)," ",VLOOKUP(A35,Регистрация!$B$7:$N$39,4,FALSE)," ",VLOOKUP(A35,Регистрация!$B$7:$N$39,5,FALSE)," ","(",VLOOKUP(A35,Регистрация!$B$7:$N$39,11,FALSE),")"))</f>
        <v xml:space="preserve"> </v>
      </c>
      <c r="D35" s="532"/>
      <c r="E35" s="532"/>
    </row>
    <row r="36" spans="1:8" ht="13.5" customHeight="1">
      <c r="A36" s="64"/>
      <c r="B36" s="82">
        <v>2</v>
      </c>
      <c r="C36" s="532" t="str">
        <f>IF(A36=0," ",CONCATENATE(VLOOKUP(A36,Регистрация!$B$7:$N$39,3,FALSE)," ",VLOOKUP(A36,Регистрация!$B$7:$N$39,4,FALSE)," ",VLOOKUP(A36,Регистрация!$B$7:$N$39,5,FALSE)," ","(",VLOOKUP(A36,Регистрация!$B$7:$N$39,11,FALSE),")"))</f>
        <v xml:space="preserve"> </v>
      </c>
      <c r="D36" s="532"/>
      <c r="E36" s="532"/>
    </row>
    <row r="37" spans="1:8" ht="13.5" customHeight="1">
      <c r="A37" s="64"/>
      <c r="B37" s="82">
        <v>3</v>
      </c>
      <c r="C37" s="532" t="str">
        <f>IF(A37=0," ",CONCATENATE(VLOOKUP(A37,Регистрация!$B$7:$N$39,3,FALSE)," ",VLOOKUP(A37,Регистрация!$B$7:$N$39,4,FALSE)," ",VLOOKUP(A37,Регистрация!$B$7:$N$39,5,FALSE)," ","(",VLOOKUP(A37,Регистрация!$B$7:$N$39,11,FALSE),")"))</f>
        <v xml:space="preserve"> </v>
      </c>
      <c r="D37" s="532"/>
      <c r="E37" s="532"/>
    </row>
    <row r="38" spans="1:8" ht="13.5" hidden="1" customHeight="1">
      <c r="A38" s="81"/>
      <c r="B38" s="82">
        <v>4</v>
      </c>
      <c r="C38" s="532" t="str">
        <f>IF(A38=0," ",CONCATENATE(VLOOKUP(A38,Регистрация!$B$7:$N$39,3,FALSE)," ",VLOOKUP(A38,Регистрация!$B$7:$N$39,4,FALSE)," ",VLOOKUP(A38,Регистрация!$B$7:$N$39,5,FALSE)," ","(",VLOOKUP(A38,Регистрация!$B$7:$N$39,11,FALSE),")"))</f>
        <v xml:space="preserve"> </v>
      </c>
      <c r="D38" s="532"/>
      <c r="E38" s="532"/>
    </row>
    <row r="39" spans="1:8" ht="15.75" customHeight="1"/>
    <row r="40" spans="1:8" s="251" customFormat="1" ht="15.75" customHeight="1">
      <c r="A40" s="527" t="s">
        <v>14</v>
      </c>
      <c r="B40" s="527"/>
      <c r="C40" s="527"/>
      <c r="D40" s="131"/>
      <c r="E40" s="131"/>
      <c r="F40" s="131"/>
      <c r="H40" s="251" t="str">
        <f>Регистрация!N73</f>
        <v>Цыльев В.А. С1К</v>
      </c>
    </row>
    <row r="41" spans="1:8" s="251" customFormat="1" ht="16.5" customHeight="1"/>
    <row r="42" spans="1:8" s="251" customFormat="1" ht="15.75" customHeight="1">
      <c r="A42" s="527" t="s">
        <v>15</v>
      </c>
      <c r="B42" s="527"/>
      <c r="C42" s="527"/>
      <c r="D42" s="131"/>
      <c r="E42" s="131"/>
      <c r="F42" s="131"/>
      <c r="H42" s="251" t="str">
        <f>Регистрация!N74</f>
        <v>Орлова Е.С 3 К</v>
      </c>
    </row>
    <row r="43" spans="1:8" ht="11.15" customHeight="1"/>
    <row r="44" spans="1:8" ht="11.15" customHeight="1"/>
    <row r="45" spans="1:8" ht="11.15" customHeight="1"/>
    <row r="46" spans="1:8" ht="11.15" customHeight="1"/>
    <row r="47" spans="1:8" ht="11.15" customHeight="1"/>
    <row r="48" spans="1:8" ht="11.15" customHeight="1"/>
    <row r="49" ht="11.15" customHeight="1"/>
    <row r="50" ht="11.15" customHeight="1"/>
    <row r="51" ht="11.15" customHeight="1"/>
  </sheetData>
  <mergeCells count="23">
    <mergeCell ref="J5:L5"/>
    <mergeCell ref="B14:E14"/>
    <mergeCell ref="B17:E17"/>
    <mergeCell ref="A1:I1"/>
    <mergeCell ref="A3:I3"/>
    <mergeCell ref="A5:C5"/>
    <mergeCell ref="D5:G5"/>
    <mergeCell ref="A7:I7"/>
    <mergeCell ref="A42:C42"/>
    <mergeCell ref="B24:E24"/>
    <mergeCell ref="B28:E28"/>
    <mergeCell ref="C34:E34"/>
    <mergeCell ref="C35:E35"/>
    <mergeCell ref="C36:E36"/>
    <mergeCell ref="C37:E37"/>
    <mergeCell ref="C38:E38"/>
    <mergeCell ref="A40:C40"/>
    <mergeCell ref="B18:C18"/>
    <mergeCell ref="B20:C20"/>
    <mergeCell ref="B21:E21"/>
    <mergeCell ref="B33:E33"/>
    <mergeCell ref="B9:C9"/>
    <mergeCell ref="B10:E10"/>
  </mergeCells>
  <pageMargins left="0.66" right="0.25" top="0.18" bottom="0.26" header="0.11" footer="0.16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2"/>
  <dimension ref="A1:S47"/>
  <sheetViews>
    <sheetView showGridLines="0" showZeros="0" workbookViewId="0">
      <selection activeCell="A8" sqref="A8"/>
    </sheetView>
  </sheetViews>
  <sheetFormatPr defaultColWidth="9.1796875" defaultRowHeight="13"/>
  <cols>
    <col min="1" max="1" width="1.81640625" style="104" bestFit="1" customWidth="1"/>
    <col min="2" max="2" width="5.7265625" style="104" bestFit="1" customWidth="1"/>
    <col min="3" max="3" width="33.81640625" style="104" customWidth="1"/>
    <col min="4" max="4" width="1.81640625" style="104" bestFit="1" customWidth="1"/>
    <col min="5" max="5" width="20.54296875" style="104" customWidth="1"/>
    <col min="6" max="6" width="1.81640625" style="104" bestFit="1" customWidth="1"/>
    <col min="7" max="7" width="20.54296875" style="104" customWidth="1"/>
    <col min="8" max="8" width="1.81640625" style="104" bestFit="1" customWidth="1"/>
    <col min="9" max="9" width="20.54296875" style="104" customWidth="1"/>
    <col min="10" max="24" width="3.453125" style="104" customWidth="1"/>
    <col min="25" max="16384" width="9.1796875" style="104"/>
  </cols>
  <sheetData>
    <row r="1" spans="1:19" ht="14">
      <c r="A1" s="534" t="str">
        <f>Регистрация!A1</f>
        <v xml:space="preserve"> Межмуниципальные соревнования по всестилевому каратэ "Первый старт" 27 сентября 2025 г.</v>
      </c>
      <c r="B1" s="534"/>
      <c r="C1" s="534"/>
      <c r="D1" s="534"/>
      <c r="E1" s="534"/>
      <c r="F1" s="534"/>
      <c r="G1" s="534"/>
      <c r="H1" s="534"/>
      <c r="I1" s="534"/>
      <c r="J1" s="76"/>
      <c r="K1" s="76"/>
      <c r="L1" s="76"/>
      <c r="M1" s="76"/>
      <c r="N1" s="76"/>
      <c r="O1" s="76"/>
      <c r="P1" s="76"/>
      <c r="Q1" s="76"/>
      <c r="R1" s="76"/>
    </row>
    <row r="2" spans="1:19" ht="6" customHeight="1">
      <c r="A2" s="139"/>
      <c r="B2" s="139"/>
      <c r="C2" s="139"/>
      <c r="D2" s="139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19" ht="12.75" customHeight="1">
      <c r="A3" s="535" t="str">
        <f>Регистрация!A2</f>
        <v>Вид спорта: ВСЕСТИЛЕВОЕ КАРАТЭ (номер-код вида спорта - 0900001411Я)</v>
      </c>
      <c r="B3" s="535"/>
      <c r="C3" s="535"/>
      <c r="D3" s="535"/>
      <c r="E3" s="535"/>
      <c r="F3" s="535"/>
      <c r="G3" s="535"/>
      <c r="H3" s="535"/>
      <c r="I3" s="535"/>
      <c r="J3" s="76"/>
      <c r="K3" s="76"/>
      <c r="L3" s="76"/>
      <c r="M3" s="76"/>
      <c r="N3" s="76"/>
      <c r="O3" s="76"/>
      <c r="P3" s="76"/>
      <c r="Q3" s="76"/>
      <c r="R3" s="76"/>
    </row>
    <row r="4" spans="1:19" ht="6.75" customHeight="1">
      <c r="A4" s="77"/>
      <c r="B4" s="77"/>
      <c r="C4" s="77"/>
      <c r="D4" s="77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19" ht="12.75" customHeight="1">
      <c r="A5" s="537" t="str">
        <f>Регистрация!A3</f>
        <v>Женщины 18 +  ОК-двоеборье</v>
      </c>
      <c r="B5" s="537"/>
      <c r="C5" s="537"/>
      <c r="D5" s="537" t="str">
        <f>Регистрация!G3</f>
        <v>г. Санкт-Петербург</v>
      </c>
      <c r="E5" s="537"/>
      <c r="F5" s="537"/>
      <c r="G5" s="537"/>
      <c r="H5" s="255"/>
      <c r="I5" s="143" t="str">
        <f>Регистрация!L3</f>
        <v>27 сентября 2025</v>
      </c>
      <c r="J5" s="533">
        <f>Регистрация!N3</f>
        <v>0</v>
      </c>
      <c r="K5" s="533"/>
      <c r="L5" s="533"/>
      <c r="M5" s="77"/>
      <c r="N5" s="77"/>
      <c r="O5" s="77"/>
      <c r="P5" s="77"/>
      <c r="Q5" s="144"/>
      <c r="R5" s="144"/>
    </row>
    <row r="6" spans="1:19" ht="12.7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19" ht="12.75" customHeight="1">
      <c r="A7" s="537" t="s">
        <v>18</v>
      </c>
      <c r="B7" s="537"/>
      <c r="C7" s="537"/>
      <c r="D7" s="537"/>
      <c r="E7" s="537"/>
      <c r="F7" s="537"/>
      <c r="G7" s="537"/>
      <c r="H7" s="537"/>
      <c r="I7" s="537"/>
      <c r="J7" s="77"/>
      <c r="K7" s="77"/>
      <c r="L7" s="77"/>
      <c r="M7" s="77"/>
      <c r="N7" s="77"/>
      <c r="O7" s="77"/>
      <c r="P7" s="77"/>
      <c r="Q7" s="144"/>
      <c r="R7" s="144"/>
    </row>
    <row r="8" spans="1:19" s="109" customFormat="1" ht="15" customHeight="1">
      <c r="A8" s="144"/>
      <c r="B8" s="144"/>
      <c r="C8" s="105"/>
      <c r="D8" s="106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19" s="261" customFormat="1" ht="13.5" customHeight="1">
      <c r="A9" s="99"/>
      <c r="B9" s="522"/>
      <c r="C9" s="522"/>
      <c r="D9" s="111"/>
      <c r="E9" s="111"/>
      <c r="F9" s="108"/>
      <c r="G9" s="108"/>
      <c r="H9" s="108"/>
      <c r="I9" s="84"/>
      <c r="J9" s="84"/>
      <c r="K9" s="84"/>
      <c r="L9" s="84"/>
      <c r="M9" s="108"/>
      <c r="N9" s="108"/>
      <c r="O9" s="108"/>
      <c r="P9" s="110"/>
      <c r="Q9" s="112"/>
      <c r="R9" s="112"/>
      <c r="S9" s="260"/>
    </row>
    <row r="10" spans="1:19" s="262" customFormat="1" ht="13.5" customHeight="1">
      <c r="A10" s="80">
        <v>1</v>
      </c>
      <c r="B10" s="523" t="str">
        <f>IF(Регистрация!$D$6&lt;A10," ",CONCATENATE(VLOOKUP(A10,Регистрация!$B$7:$N$39,3,FALSE)," ",VLOOKUP(A10,Регистрация!$B$7:$N$39,4,FALSE)," ","(",VLOOKUP(A10,Регистрация!$B$7:$N$39,11,FALSE),")"))</f>
        <v>Сугралиева Арина (Политех)</v>
      </c>
      <c r="C10" s="524"/>
      <c r="D10" s="524"/>
      <c r="E10" s="525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110"/>
      <c r="Q10" s="113"/>
      <c r="R10" s="113"/>
      <c r="S10" s="260"/>
    </row>
    <row r="11" spans="1:19" s="109" customFormat="1" ht="13.5" customHeight="1">
      <c r="A11" s="99"/>
      <c r="B11" s="522"/>
      <c r="C11" s="522"/>
      <c r="D11" s="99"/>
      <c r="E11" s="115"/>
      <c r="F11" s="108"/>
      <c r="G11" s="108"/>
      <c r="H11" s="108"/>
      <c r="I11" s="105"/>
      <c r="J11" s="108"/>
      <c r="K11" s="108"/>
      <c r="L11" s="105"/>
      <c r="M11" s="108"/>
      <c r="N11" s="108"/>
      <c r="O11" s="108"/>
      <c r="P11" s="254"/>
      <c r="Q11" s="105"/>
      <c r="R11" s="105"/>
      <c r="S11" s="132"/>
    </row>
    <row r="12" spans="1:19" s="261" customFormat="1" ht="13.5" customHeight="1">
      <c r="A12" s="99"/>
      <c r="B12" s="250"/>
      <c r="C12" s="250"/>
      <c r="D12" s="99"/>
      <c r="E12" s="116"/>
      <c r="F12" s="61">
        <v>1</v>
      </c>
      <c r="G12" s="79" t="str">
        <f>IF(F12=0," ",CONCATENATE(VLOOKUP(F12,Регистрация!$B$7:$N$39,3,FALSE)," ",VLOOKUP(F12,Регистрация!$B$7:$N$39,4,FALSE)))</f>
        <v>Сугралиева Арина</v>
      </c>
      <c r="H12" s="108"/>
      <c r="I12" s="108"/>
      <c r="J12" s="108"/>
      <c r="K12" s="108"/>
      <c r="L12" s="108"/>
      <c r="M12" s="108"/>
      <c r="N12" s="108"/>
      <c r="O12" s="105"/>
      <c r="P12" s="108"/>
      <c r="Q12" s="112"/>
      <c r="R12" s="112"/>
      <c r="S12" s="260"/>
    </row>
    <row r="13" spans="1:19" s="109" customFormat="1" ht="13.5" customHeight="1">
      <c r="D13" s="99"/>
      <c r="E13" s="117"/>
      <c r="F13" s="256"/>
      <c r="G13" s="115"/>
      <c r="H13" s="108"/>
      <c r="I13" s="108"/>
      <c r="J13" s="108"/>
      <c r="K13" s="108"/>
      <c r="L13" s="108"/>
      <c r="M13" s="108"/>
      <c r="N13" s="108"/>
      <c r="O13" s="105"/>
      <c r="P13" s="254"/>
      <c r="Q13" s="105"/>
      <c r="R13" s="105"/>
      <c r="S13" s="132"/>
    </row>
    <row r="14" spans="1:19" s="261" customFormat="1" ht="13.5" customHeight="1">
      <c r="A14" s="80">
        <v>3</v>
      </c>
      <c r="B14" s="523" t="str">
        <f>IF(Регистрация!$D$6&lt;A14," ",CONCATENATE(VLOOKUP(A14,Регистрация!$B$7:$N$39,3,FALSE)," ",VLOOKUP(A14,Регистрация!$B$7:$N$39,4,FALSE)," ","(",VLOOKUP(A14,Регистрация!$B$7:$N$39,11,FALSE),")"))</f>
        <v>Паранина Полина (Политех)</v>
      </c>
      <c r="C14" s="524"/>
      <c r="D14" s="524"/>
      <c r="E14" s="525"/>
      <c r="F14" s="256"/>
      <c r="G14" s="116"/>
      <c r="H14" s="108"/>
      <c r="I14" s="108"/>
      <c r="J14" s="108"/>
      <c r="K14" s="108"/>
      <c r="L14" s="108"/>
      <c r="M14" s="119"/>
      <c r="N14" s="119"/>
      <c r="O14" s="119"/>
      <c r="P14" s="119"/>
      <c r="Q14" s="112"/>
      <c r="R14" s="112"/>
      <c r="S14" s="260"/>
    </row>
    <row r="15" spans="1:19" ht="13.5" customHeight="1">
      <c r="A15" s="120"/>
      <c r="B15" s="250"/>
      <c r="C15" s="250"/>
      <c r="D15" s="120"/>
      <c r="E15" s="250"/>
      <c r="F15" s="256"/>
      <c r="G15" s="116"/>
      <c r="H15" s="61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19" ht="13.5" customHeight="1">
      <c r="A16" s="120"/>
      <c r="B16" s="522"/>
      <c r="C16" s="522"/>
      <c r="D16" s="99"/>
      <c r="E16" s="250"/>
      <c r="F16" s="256"/>
      <c r="G16" s="116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3.5" customHeight="1">
      <c r="A17" s="80">
        <v>2</v>
      </c>
      <c r="B17" s="528" t="str">
        <f>IF(Регистрация!$D$6&lt;A17," ",CONCATENATE(VLOOKUP(A17,Регистрация!$B$7:$N$39,3,FALSE)," ",VLOOKUP(A17,Регистрация!$B$7:$N$39,4,FALSE)," ","(",VLOOKUP(A17,Регистрация!$B$7:$N$39,11,FALSE),")"))</f>
        <v>Хохлова Элина (WSKF)</v>
      </c>
      <c r="C17" s="528"/>
      <c r="D17" s="528"/>
      <c r="E17" s="528"/>
      <c r="F17" s="256"/>
      <c r="G17" s="116"/>
      <c r="H17" s="108"/>
      <c r="I17" s="108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13.5" customHeight="1">
      <c r="A18" s="120"/>
      <c r="B18" s="522"/>
      <c r="C18" s="522"/>
      <c r="D18" s="99"/>
      <c r="E18" s="116"/>
      <c r="F18" s="256"/>
      <c r="G18" s="117"/>
      <c r="H18" s="108"/>
      <c r="I18" s="105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3.5" customHeight="1">
      <c r="A19" s="120"/>
      <c r="B19" s="250"/>
      <c r="C19" s="250"/>
      <c r="D19" s="99"/>
      <c r="E19" s="116"/>
      <c r="F19" s="61">
        <v>2</v>
      </c>
      <c r="G19" s="79" t="str">
        <f>IF(F19=0," ",CONCATENATE(VLOOKUP(F19,Регистрация!$B$7:$N$39,3,FALSE)," ",VLOOKUP(F19,Регистрация!$B$7:$N$39,4,FALSE)))</f>
        <v>Хохлова Элина</v>
      </c>
      <c r="H19" s="108"/>
      <c r="I19" s="105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3.5" customHeight="1">
      <c r="A20" s="120"/>
      <c r="B20" s="522"/>
      <c r="C20" s="522"/>
      <c r="D20" s="99"/>
      <c r="E20" s="116"/>
      <c r="F20" s="105"/>
      <c r="G20" s="111"/>
      <c r="H20" s="108"/>
      <c r="I20" s="125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3.5" customHeight="1">
      <c r="A21" s="126">
        <v>4</v>
      </c>
      <c r="B21" s="523" t="str">
        <f>IF(Регистрация!$D$6&lt;A21," ",CONCATENATE(VLOOKUP(A21,Регистрация!$B$7:$N$39,3,FALSE)," ",VLOOKUP(A21,Регистрация!$B$7:$N$39,4,FALSE)," ","(",VLOOKUP(A21,Регистрация!$B$7:$N$39,11,FALSE),")"))</f>
        <v>Шайдулина Алина (Политех)</v>
      </c>
      <c r="C21" s="524"/>
      <c r="D21" s="524"/>
      <c r="E21" s="525"/>
      <c r="F21" s="105"/>
      <c r="G21" s="108"/>
      <c r="H21" s="108"/>
      <c r="I21" s="108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13.5" customHeight="1">
      <c r="A22" s="120"/>
      <c r="B22" s="522"/>
      <c r="C22" s="522"/>
      <c r="D22" s="111"/>
      <c r="E22" s="111"/>
      <c r="F22" s="110"/>
      <c r="G22" s="110"/>
      <c r="H22" s="110"/>
      <c r="I22" s="11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3.5" customHeight="1">
      <c r="A23" s="132"/>
      <c r="B23" s="132"/>
      <c r="F23" s="538" t="s">
        <v>13</v>
      </c>
      <c r="G23" s="538"/>
      <c r="H23" s="538"/>
      <c r="I23" s="538"/>
      <c r="J23" s="77"/>
      <c r="K23" s="77"/>
      <c r="L23" s="77"/>
      <c r="M23" s="77"/>
      <c r="N23" s="77"/>
      <c r="O23" s="77"/>
      <c r="P23" s="77"/>
      <c r="Q23" s="77"/>
      <c r="R23" s="77"/>
    </row>
    <row r="24" spans="1:18" ht="7.5" customHeight="1">
      <c r="A24" s="132"/>
      <c r="B24" s="132"/>
      <c r="C24" s="132"/>
      <c r="D24" s="110"/>
      <c r="E24" s="110"/>
      <c r="F24" s="254"/>
      <c r="G24" s="254"/>
      <c r="H24" s="254"/>
      <c r="I24" s="254"/>
      <c r="J24" s="254"/>
      <c r="K24" s="127"/>
      <c r="L24" s="127"/>
      <c r="M24" s="254"/>
      <c r="N24" s="254"/>
      <c r="O24" s="254"/>
      <c r="P24" s="254"/>
      <c r="Q24" s="110"/>
      <c r="R24" s="122"/>
    </row>
    <row r="25" spans="1:18" ht="13.5" customHeight="1">
      <c r="D25" s="122"/>
      <c r="E25" s="128"/>
      <c r="F25" s="60">
        <f>IF(F12=0,0,IF(A10=F12,A14,A10))</f>
        <v>3</v>
      </c>
      <c r="G25" s="79" t="str">
        <f>IF(F25=0," ",CONCATENATE(VLOOKUP(F25,Регистрация!$B$7:$N$39,3,FALSE)," ",VLOOKUP(F25,Регистрация!$B$7:$N$39,4,FALSE)))</f>
        <v>Паранина Полина</v>
      </c>
      <c r="H25" s="108"/>
      <c r="I25" s="108"/>
      <c r="J25" s="129"/>
      <c r="K25" s="129"/>
      <c r="L25" s="129"/>
      <c r="M25" s="129"/>
      <c r="N25" s="129"/>
      <c r="O25" s="129"/>
      <c r="P25" s="129"/>
      <c r="Q25" s="122"/>
      <c r="R25" s="122"/>
    </row>
    <row r="26" spans="1:18" ht="13.5" customHeight="1">
      <c r="F26" s="256"/>
      <c r="G26" s="116"/>
      <c r="H26" s="61"/>
      <c r="I26" s="79" t="str">
        <f>IF(H26=0," ",CONCATENATE(VLOOKUP(H26,Регистрация!$B$7:$N$39,3,FALSE)," ",VLOOKUP(H26,Регистрация!$B$7:$N$39,4,FALSE)))</f>
        <v xml:space="preserve"> </v>
      </c>
    </row>
    <row r="27" spans="1:18" ht="13.5" customHeight="1">
      <c r="F27" s="60">
        <f>IF(F19=0,0,IF(A17=F19,A21,A17))</f>
        <v>4</v>
      </c>
      <c r="G27" s="79" t="str">
        <f>IF(F27=0," ",CONCATENATE(VLOOKUP(F27,Регистрация!$B$7:$N$39,3,FALSE)," ",VLOOKUP(F27,Регистрация!$B$7:$N$39,4,FALSE)))</f>
        <v>Шайдулина Алина</v>
      </c>
      <c r="H27" s="108"/>
      <c r="I27" s="105"/>
    </row>
    <row r="28" spans="1:18" ht="7.5" customHeight="1">
      <c r="F28" s="99"/>
      <c r="G28" s="111"/>
      <c r="H28" s="108"/>
      <c r="I28" s="105"/>
    </row>
    <row r="29" spans="1:18" ht="17.25" customHeight="1">
      <c r="B29" s="526" t="s">
        <v>16</v>
      </c>
      <c r="C29" s="526"/>
      <c r="D29" s="526"/>
      <c r="E29" s="526"/>
    </row>
    <row r="30" spans="1:18" ht="13.5" customHeight="1">
      <c r="A30" s="81"/>
      <c r="B30" s="130" t="s">
        <v>1</v>
      </c>
      <c r="C30" s="529" t="s">
        <v>17</v>
      </c>
      <c r="D30" s="530"/>
      <c r="E30" s="531"/>
    </row>
    <row r="31" spans="1:18" ht="13.5" customHeight="1">
      <c r="A31" s="64">
        <f>H15</f>
        <v>0</v>
      </c>
      <c r="B31" s="82">
        <v>1</v>
      </c>
      <c r="C31" s="532" t="str">
        <f>IF(A31=0," ",CONCATENATE(VLOOKUP(A31,Регистрация!$B$7:$N$39,3,FALSE)," ",VLOOKUP(A31,Регистрация!$B$7:$N$39,4,FALSE)," ",VLOOKUP(A31,Регистрация!$B$7:$N$39,5,FALSE)," ","(",VLOOKUP(A31,Регистрация!$B$7:$N$39,11,FALSE),")"))</f>
        <v xml:space="preserve"> </v>
      </c>
      <c r="D31" s="532"/>
      <c r="E31" s="532"/>
    </row>
    <row r="32" spans="1:18" ht="13.5" customHeight="1">
      <c r="A32" s="64">
        <f>IF(H15=0,0,IF(H15=F12,F19,F12))</f>
        <v>0</v>
      </c>
      <c r="B32" s="82">
        <v>2</v>
      </c>
      <c r="C32" s="532" t="str">
        <f>IF(A32=0," ",CONCATENATE(VLOOKUP(A32,Регистрация!$B$7:$N$39,3,FALSE)," ",VLOOKUP(A32,Регистрация!$B$7:$N$39,4,FALSE)," ",VLOOKUP(A32,Регистрация!$B$7:$N$39,5,FALSE)," ","(",VLOOKUP(A32,Регистрация!$B$7:$N$39,11,FALSE),")"))</f>
        <v xml:space="preserve"> </v>
      </c>
      <c r="D32" s="532"/>
      <c r="E32" s="532"/>
    </row>
    <row r="33" spans="1:8" ht="13.5" customHeight="1">
      <c r="A33" s="64">
        <f>H26</f>
        <v>0</v>
      </c>
      <c r="B33" s="82">
        <v>3</v>
      </c>
      <c r="C33" s="532" t="str">
        <f>IF(A33=0," ",CONCATENATE(VLOOKUP(A33,Регистрация!$B$7:$N$39,3,FALSE)," ",VLOOKUP(A33,Регистрация!$B$7:$N$39,4,FALSE)," ",VLOOKUP(A33,Регистрация!$B$7:$N$39,5,FALSE)," ","(",VLOOKUP(A33,Регистрация!$B$7:$N$39,11,FALSE),")"))</f>
        <v xml:space="preserve"> </v>
      </c>
      <c r="D33" s="532"/>
      <c r="E33" s="532"/>
    </row>
    <row r="34" spans="1:8" ht="13.5" customHeight="1">
      <c r="A34" s="64">
        <f>IF(H26=0,0,IF(H26=F25,F27,F25))</f>
        <v>0</v>
      </c>
      <c r="B34" s="82">
        <v>4</v>
      </c>
      <c r="C34" s="532" t="str">
        <f>IF(A34=0," ",CONCATENATE(VLOOKUP(A34,Регистрация!$B$7:$N$39,3,FALSE)," ",VLOOKUP(A34,Регистрация!$B$7:$N$39,4,FALSE)," ",VLOOKUP(A34,Регистрация!$B$7:$N$39,5,FALSE)," ","(",VLOOKUP(A34,Регистрация!$B$7:$N$39,11,FALSE),")"))</f>
        <v xml:space="preserve"> </v>
      </c>
      <c r="D34" s="532"/>
      <c r="E34" s="532"/>
    </row>
    <row r="35" spans="1:8" ht="15.75" customHeight="1"/>
    <row r="36" spans="1:8" s="251" customFormat="1" ht="15.75" customHeight="1">
      <c r="A36" s="527" t="s">
        <v>14</v>
      </c>
      <c r="B36" s="527"/>
      <c r="C36" s="527"/>
      <c r="D36" s="131"/>
      <c r="E36" s="131"/>
      <c r="F36" s="131"/>
      <c r="H36" s="251" t="str">
        <f>Регистрация!N73</f>
        <v>Цыльев В.А. С1К</v>
      </c>
    </row>
    <row r="37" spans="1:8" s="251" customFormat="1" ht="16.5" customHeight="1"/>
    <row r="38" spans="1:8" s="251" customFormat="1" ht="15.75" customHeight="1">
      <c r="A38" s="527" t="s">
        <v>15</v>
      </c>
      <c r="B38" s="527"/>
      <c r="C38" s="527"/>
      <c r="D38" s="131"/>
      <c r="E38" s="131"/>
      <c r="F38" s="131"/>
      <c r="H38" s="251" t="str">
        <f>Регистрация!N74</f>
        <v>Орлова Е.С 3 К</v>
      </c>
    </row>
    <row r="39" spans="1:8" ht="11.15" customHeight="1"/>
    <row r="40" spans="1:8" ht="11.15" customHeight="1"/>
    <row r="41" spans="1:8" ht="11.15" customHeight="1"/>
    <row r="42" spans="1:8" ht="11.15" customHeight="1"/>
    <row r="43" spans="1:8" ht="11.15" customHeight="1"/>
    <row r="44" spans="1:8" ht="11.15" customHeight="1"/>
    <row r="45" spans="1:8" ht="11.15" customHeight="1"/>
    <row r="46" spans="1:8" ht="11.15" customHeight="1"/>
    <row r="47" spans="1:8" ht="11.15" customHeight="1"/>
  </sheetData>
  <mergeCells count="25">
    <mergeCell ref="J5:L5"/>
    <mergeCell ref="B9:C9"/>
    <mergeCell ref="B10:E10"/>
    <mergeCell ref="B11:C11"/>
    <mergeCell ref="B16:C16"/>
    <mergeCell ref="A1:I1"/>
    <mergeCell ref="A3:I3"/>
    <mergeCell ref="A5:C5"/>
    <mergeCell ref="D5:G5"/>
    <mergeCell ref="A7:I7"/>
    <mergeCell ref="F23:I23"/>
    <mergeCell ref="A36:C36"/>
    <mergeCell ref="A38:C38"/>
    <mergeCell ref="B14:E14"/>
    <mergeCell ref="B29:E29"/>
    <mergeCell ref="C30:E30"/>
    <mergeCell ref="C31:E31"/>
    <mergeCell ref="C32:E32"/>
    <mergeCell ref="C33:E33"/>
    <mergeCell ref="C34:E34"/>
    <mergeCell ref="B17:E17"/>
    <mergeCell ref="B18:C18"/>
    <mergeCell ref="B20:C20"/>
    <mergeCell ref="B21:E21"/>
    <mergeCell ref="B22:C22"/>
  </mergeCells>
  <pageMargins left="0.84" right="0.25" top="0.49" bottom="0.4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W39"/>
  <sheetViews>
    <sheetView showGridLines="0" showZeros="0" topLeftCell="A13" workbookViewId="0">
      <selection activeCell="A8" sqref="A8"/>
    </sheetView>
  </sheetViews>
  <sheetFormatPr defaultColWidth="9.1796875" defaultRowHeight="11.15" customHeight="1"/>
  <cols>
    <col min="1" max="1" width="1.81640625" style="104" bestFit="1" customWidth="1"/>
    <col min="2" max="2" width="5.7265625" style="104" bestFit="1" customWidth="1"/>
    <col min="3" max="3" width="33.81640625" style="104" customWidth="1"/>
    <col min="4" max="4" width="1.81640625" style="104" bestFit="1" customWidth="1"/>
    <col min="5" max="5" width="20.54296875" style="104" customWidth="1"/>
    <col min="6" max="6" width="1.81640625" style="104" bestFit="1" customWidth="1"/>
    <col min="7" max="7" width="20.54296875" style="104" customWidth="1"/>
    <col min="8" max="8" width="1.81640625" style="104" bestFit="1" customWidth="1"/>
    <col min="9" max="9" width="20.54296875" style="104" customWidth="1"/>
    <col min="10" max="24" width="3.453125" style="104" customWidth="1"/>
    <col min="25" max="16384" width="9.1796875" style="104"/>
  </cols>
  <sheetData>
    <row r="1" spans="1:23" ht="14">
      <c r="A1" s="534" t="str">
        <f>Регистрация!A1</f>
        <v xml:space="preserve"> Межмуниципальные соревнования по всестилевому каратэ "Первый старт" 27 сентября 2025 г.</v>
      </c>
      <c r="B1" s="534"/>
      <c r="C1" s="534"/>
      <c r="D1" s="534"/>
      <c r="E1" s="534"/>
      <c r="F1" s="534"/>
      <c r="G1" s="534"/>
      <c r="H1" s="534"/>
      <c r="I1" s="534"/>
      <c r="J1" s="76"/>
      <c r="K1" s="76"/>
      <c r="L1" s="76"/>
      <c r="M1" s="76"/>
      <c r="N1" s="76"/>
      <c r="O1" s="76"/>
      <c r="P1" s="76"/>
      <c r="Q1" s="76"/>
      <c r="R1" s="76"/>
    </row>
    <row r="2" spans="1:23" ht="6" customHeight="1">
      <c r="A2" s="139"/>
      <c r="B2" s="139"/>
      <c r="C2" s="139"/>
      <c r="D2" s="139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2.75" customHeight="1">
      <c r="A3" s="535" t="str">
        <f>Регистрация!A2</f>
        <v>Вид спорта: ВСЕСТИЛЕВОЕ КАРАТЭ (номер-код вида спорта - 0900001411Я)</v>
      </c>
      <c r="B3" s="535"/>
      <c r="C3" s="535"/>
      <c r="D3" s="535"/>
      <c r="E3" s="535"/>
      <c r="F3" s="535"/>
      <c r="G3" s="535"/>
      <c r="H3" s="535"/>
      <c r="I3" s="535"/>
      <c r="J3" s="76"/>
      <c r="K3" s="76"/>
      <c r="L3" s="76"/>
      <c r="M3" s="76"/>
      <c r="N3" s="76"/>
      <c r="O3" s="76"/>
      <c r="P3" s="76"/>
      <c r="Q3" s="76"/>
      <c r="R3" s="76"/>
    </row>
    <row r="4" spans="1:23" ht="6.75" customHeight="1">
      <c r="A4" s="77"/>
      <c r="B4" s="77"/>
      <c r="C4" s="77"/>
      <c r="D4" s="77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2.75" customHeight="1">
      <c r="A5" s="537" t="str">
        <f>Регистрация!A3</f>
        <v>Женщины 18 +  ОК-двоеборье</v>
      </c>
      <c r="B5" s="537"/>
      <c r="C5" s="537"/>
      <c r="D5" s="537" t="str">
        <f>Регистрация!G3</f>
        <v>г. Санкт-Петербург</v>
      </c>
      <c r="E5" s="537"/>
      <c r="F5" s="537"/>
      <c r="G5" s="537"/>
      <c r="H5" s="255"/>
      <c r="I5" s="143" t="str">
        <f>Регистрация!L3</f>
        <v>27 сентября 2025</v>
      </c>
      <c r="J5" s="533">
        <f>Регистрация!N3</f>
        <v>0</v>
      </c>
      <c r="K5" s="533"/>
      <c r="L5" s="533"/>
      <c r="M5" s="77"/>
      <c r="N5" s="77"/>
      <c r="O5" s="77"/>
      <c r="P5" s="77"/>
      <c r="Q5" s="144"/>
      <c r="R5" s="144"/>
    </row>
    <row r="6" spans="1:23" ht="12.7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2.75" customHeight="1">
      <c r="A7" s="537" t="s">
        <v>18</v>
      </c>
      <c r="B7" s="537"/>
      <c r="C7" s="537"/>
      <c r="D7" s="537"/>
      <c r="E7" s="537"/>
      <c r="F7" s="537"/>
      <c r="G7" s="537"/>
      <c r="H7" s="537"/>
      <c r="I7" s="537"/>
      <c r="J7" s="77"/>
      <c r="K7" s="77"/>
      <c r="L7" s="77"/>
      <c r="M7" s="77"/>
      <c r="N7" s="77"/>
      <c r="O7" s="77"/>
      <c r="P7" s="77"/>
      <c r="Q7" s="144"/>
      <c r="R7" s="144"/>
    </row>
    <row r="8" spans="1:23" s="109" customFormat="1" ht="15" customHeight="1">
      <c r="A8" s="144"/>
      <c r="B8" s="144"/>
      <c r="C8" s="105"/>
      <c r="D8" s="106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23" s="261" customFormat="1" ht="13.5" customHeight="1">
      <c r="A9" s="99"/>
      <c r="B9" s="522"/>
      <c r="C9" s="522"/>
      <c r="D9" s="111"/>
      <c r="E9" s="111"/>
      <c r="F9" s="108"/>
      <c r="G9" s="108"/>
      <c r="H9" s="108"/>
      <c r="I9" s="84"/>
      <c r="J9" s="84"/>
      <c r="K9" s="84"/>
      <c r="L9" s="84"/>
      <c r="M9" s="108"/>
      <c r="N9" s="108"/>
      <c r="O9" s="108"/>
      <c r="P9" s="110"/>
      <c r="Q9" s="112"/>
      <c r="R9" s="112"/>
      <c r="S9" s="260"/>
    </row>
    <row r="10" spans="1:23" s="262" customFormat="1" ht="13.5" customHeight="1">
      <c r="A10" s="80">
        <v>1</v>
      </c>
      <c r="B10" s="523" t="str">
        <f>IF(Регистрация!$D$6&lt;A10," ",CONCATENATE(VLOOKUP(A10,Регистрация!$B$7:$N$39,3,FALSE)," ",VLOOKUP(A10,Регистрация!$B$7:$N$39,4,FALSE)," ","(",VLOOKUP(A10,Регистрация!$B$7:$N$39,11,FALSE),")"))</f>
        <v>Сугралиева Арина (Политех)</v>
      </c>
      <c r="C10" s="524"/>
      <c r="D10" s="524"/>
      <c r="E10" s="525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110"/>
      <c r="Q10" s="113"/>
      <c r="R10" s="113"/>
      <c r="S10" s="260"/>
    </row>
    <row r="11" spans="1:23" s="109" customFormat="1" ht="13.5" customHeight="1">
      <c r="A11" s="99"/>
      <c r="B11" s="522"/>
      <c r="C11" s="522"/>
      <c r="D11" s="99"/>
      <c r="E11" s="115"/>
      <c r="F11" s="108"/>
      <c r="G11" s="108"/>
      <c r="H11" s="108"/>
      <c r="I11" s="105"/>
      <c r="J11" s="108"/>
      <c r="K11" s="108"/>
      <c r="L11" s="105"/>
      <c r="M11" s="108"/>
      <c r="N11" s="108"/>
      <c r="O11" s="108"/>
      <c r="P11" s="254"/>
      <c r="Q11" s="105"/>
      <c r="R11" s="105"/>
      <c r="S11" s="132"/>
    </row>
    <row r="12" spans="1:23" s="261" customFormat="1" ht="13.5" customHeight="1">
      <c r="A12" s="99"/>
      <c r="B12" s="250"/>
      <c r="C12" s="250"/>
      <c r="D12" s="99"/>
      <c r="E12" s="116"/>
      <c r="F12" s="61"/>
      <c r="G12" s="79" t="str">
        <f>IF(F12=0," ",CONCATENATE(VLOOKUP(F12,Регистрация!$B$7:$N$39,3,FALSE)," ",VLOOKUP(F12,Регистрация!$B$7:$N$39,4,FALSE)))</f>
        <v xml:space="preserve"> </v>
      </c>
      <c r="H12" s="108"/>
      <c r="I12" s="108"/>
      <c r="J12" s="108"/>
      <c r="K12" s="108"/>
      <c r="L12" s="108"/>
      <c r="M12" s="108"/>
      <c r="N12" s="108"/>
      <c r="O12" s="105"/>
      <c r="P12" s="108"/>
      <c r="Q12" s="112"/>
      <c r="R12" s="112"/>
      <c r="S12" s="260"/>
    </row>
    <row r="13" spans="1:23" s="109" customFormat="1" ht="13.5" customHeight="1">
      <c r="A13" s="80">
        <v>3</v>
      </c>
      <c r="B13" s="523" t="str">
        <f>IF(Регистрация!$D$6&lt;A13," ",CONCATENATE(VLOOKUP(A13,Регистрация!$B$7:$N$39,3,FALSE)," ",VLOOKUP(A13,Регистрация!$B$7:$N$39,4,FALSE)," ","(",VLOOKUP(A13,Регистрация!$B$7:$N$39,11,FALSE),")"))</f>
        <v>Паранина Полина (Политех)</v>
      </c>
      <c r="C13" s="525"/>
      <c r="D13" s="99"/>
      <c r="E13" s="117"/>
      <c r="F13" s="99"/>
      <c r="G13" s="115"/>
      <c r="H13" s="108"/>
      <c r="I13" s="108"/>
      <c r="J13" s="108"/>
      <c r="K13" s="108"/>
      <c r="L13" s="108"/>
      <c r="M13" s="108"/>
      <c r="N13" s="108"/>
      <c r="O13" s="105"/>
      <c r="P13" s="254"/>
      <c r="Q13" s="105"/>
      <c r="R13" s="105"/>
      <c r="S13" s="132"/>
    </row>
    <row r="14" spans="1:23" s="261" customFormat="1" ht="13.5" customHeight="1">
      <c r="A14" s="99"/>
      <c r="B14" s="250"/>
      <c r="C14" s="250"/>
      <c r="D14" s="60"/>
      <c r="E14" s="79" t="str">
        <f>IF(D14=0," ",CONCATENATE(VLOOKUP(D14,Регистрация!$B$7:$N$39,3,FALSE)," ",VLOOKUP(D14,Регистрация!$B$7:$N$39,4,FALSE)))</f>
        <v xml:space="preserve"> </v>
      </c>
      <c r="F14" s="99"/>
      <c r="G14" s="116"/>
      <c r="H14" s="108"/>
      <c r="I14" s="108"/>
      <c r="J14" s="108"/>
      <c r="K14" s="108"/>
      <c r="L14" s="108"/>
      <c r="M14" s="119"/>
      <c r="N14" s="119"/>
      <c r="O14" s="119"/>
      <c r="P14" s="119"/>
      <c r="Q14" s="112"/>
      <c r="R14" s="112"/>
      <c r="S14" s="260"/>
    </row>
    <row r="15" spans="1:23" s="261" customFormat="1" ht="13.5" customHeight="1">
      <c r="A15" s="80">
        <v>5</v>
      </c>
      <c r="B15" s="523" t="str">
        <f>IF(Регистрация!$D$6&lt;A15," ",CONCATENATE(VLOOKUP(A15,Регистрация!$B$7:$N$39,3,FALSE)," ",VLOOKUP(A15,Регистрация!$B$7:$N$39,4,FALSE)," ","(",VLOOKUP(A15,Регистрация!$B$7:$N$39,11,FALSE),")"))</f>
        <v>Носкова Александра (Политех)</v>
      </c>
      <c r="C15" s="525"/>
      <c r="D15" s="99"/>
      <c r="E15" s="250"/>
      <c r="F15" s="99"/>
      <c r="G15" s="116"/>
      <c r="H15" s="108"/>
      <c r="I15" s="96"/>
      <c r="J15" s="96"/>
      <c r="K15" s="96"/>
      <c r="L15" s="96"/>
      <c r="M15" s="108"/>
      <c r="N15" s="108"/>
      <c r="O15" s="108"/>
      <c r="P15" s="133"/>
      <c r="Q15" s="112"/>
      <c r="R15" s="112"/>
      <c r="S15" s="260"/>
      <c r="W15" s="263"/>
    </row>
    <row r="16" spans="1:23" ht="13.5" customHeight="1">
      <c r="A16" s="120"/>
      <c r="B16" s="250"/>
      <c r="C16" s="250"/>
      <c r="D16" s="120"/>
      <c r="E16" s="250"/>
      <c r="F16" s="99"/>
      <c r="G16" s="116"/>
      <c r="H16" s="61"/>
      <c r="I16" s="79" t="str">
        <f>IF(H16=0," ",CONCATENATE(VLOOKUP(H16,Регистрация!$B$7:$N$39,3,FALSE)," ",VLOOKUP(H16,Регистрация!$B$7:$N$39,4,FALSE)))</f>
        <v xml:space="preserve"> </v>
      </c>
      <c r="J16" s="105"/>
      <c r="K16" s="105"/>
      <c r="L16" s="105"/>
      <c r="M16" s="108"/>
      <c r="N16" s="108"/>
      <c r="O16" s="108"/>
      <c r="P16" s="121"/>
      <c r="Q16" s="109"/>
      <c r="R16" s="122"/>
    </row>
    <row r="17" spans="1:18" ht="13.5" customHeight="1">
      <c r="A17" s="120"/>
      <c r="B17" s="522"/>
      <c r="C17" s="522"/>
      <c r="D17" s="99"/>
      <c r="E17" s="250"/>
      <c r="F17" s="99"/>
      <c r="G17" s="116"/>
      <c r="J17" s="123"/>
      <c r="K17" s="123"/>
      <c r="L17" s="123"/>
      <c r="M17" s="108"/>
      <c r="N17" s="108"/>
      <c r="O17" s="105"/>
      <c r="P17" s="254"/>
      <c r="Q17" s="110"/>
      <c r="R17" s="122"/>
    </row>
    <row r="18" spans="1:18" ht="13.5" customHeight="1">
      <c r="A18" s="80">
        <v>2</v>
      </c>
      <c r="B18" s="528" t="str">
        <f>IF(Регистрация!$D$6&lt;A18," ",CONCATENATE(VLOOKUP(A18,Регистрация!$B$7:$N$39,3,FALSE)," ",VLOOKUP(A18,Регистрация!$B$7:$N$39,4,FALSE)," ","(",VLOOKUP(A18,Регистрация!$B$7:$N$39,11,FALSE),")"))</f>
        <v>Хохлова Элина (WSKF)</v>
      </c>
      <c r="C18" s="528"/>
      <c r="D18" s="528"/>
      <c r="E18" s="528"/>
      <c r="F18" s="99"/>
      <c r="G18" s="116"/>
      <c r="H18" s="108"/>
      <c r="I18" s="108"/>
      <c r="J18" s="108"/>
      <c r="K18" s="108"/>
      <c r="L18" s="108"/>
      <c r="M18" s="108"/>
      <c r="N18" s="108"/>
      <c r="O18" s="105"/>
      <c r="P18" s="254"/>
      <c r="Q18" s="110"/>
      <c r="R18" s="122"/>
    </row>
    <row r="19" spans="1:18" ht="13.5" customHeight="1">
      <c r="A19" s="120"/>
      <c r="B19" s="522"/>
      <c r="C19" s="522"/>
      <c r="D19" s="99"/>
      <c r="E19" s="116"/>
      <c r="F19" s="99"/>
      <c r="G19" s="117"/>
      <c r="H19" s="108"/>
      <c r="I19" s="105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3.5" customHeight="1">
      <c r="A20" s="120"/>
      <c r="B20" s="250"/>
      <c r="C20" s="250"/>
      <c r="D20" s="99"/>
      <c r="E20" s="116"/>
      <c r="F20" s="61"/>
      <c r="G20" s="79" t="str">
        <f>IF(F20=0," ",CONCATENATE(VLOOKUP(F20,Регистрация!$B$7:$N$39,3,FALSE)," ",VLOOKUP(F20,Регистрация!$B$7:$N$39,4,FALSE)))</f>
        <v xml:space="preserve"> </v>
      </c>
      <c r="H20" s="108"/>
      <c r="I20" s="105"/>
      <c r="J20" s="108"/>
      <c r="K20" s="108"/>
      <c r="L20" s="105"/>
      <c r="M20" s="108"/>
      <c r="N20" s="108"/>
      <c r="O20" s="108"/>
      <c r="P20" s="254"/>
      <c r="Q20" s="110"/>
      <c r="R20" s="122"/>
    </row>
    <row r="21" spans="1:18" ht="13.5" customHeight="1">
      <c r="A21" s="120"/>
      <c r="B21" s="522"/>
      <c r="C21" s="522"/>
      <c r="D21" s="99"/>
      <c r="E21" s="116"/>
      <c r="F21" s="105"/>
      <c r="G21" s="111"/>
      <c r="H21" s="108"/>
      <c r="I21" s="125"/>
      <c r="J21" s="125"/>
      <c r="K21" s="125"/>
      <c r="L21" s="125"/>
      <c r="M21" s="108"/>
      <c r="N21" s="108"/>
      <c r="O21" s="105"/>
      <c r="P21" s="254"/>
      <c r="Q21" s="110"/>
      <c r="R21" s="122"/>
    </row>
    <row r="22" spans="1:18" ht="13.5" customHeight="1">
      <c r="A22" s="126">
        <v>4</v>
      </c>
      <c r="B22" s="523" t="str">
        <f>IF(Регистрация!$D$6&lt;A22," ",CONCATENATE(VLOOKUP(A22,Регистрация!$B$7:$N$39,3,FALSE)," ",VLOOKUP(A22,Регистрация!$B$7:$N$39,4,FALSE)," ","(",VLOOKUP(A22,Регистрация!$B$7:$N$39,11,FALSE),")"))</f>
        <v>Шайдулина Алина (Политех)</v>
      </c>
      <c r="C22" s="524"/>
      <c r="D22" s="524"/>
      <c r="E22" s="525"/>
      <c r="F22" s="105"/>
      <c r="G22" s="108"/>
      <c r="H22" s="108"/>
      <c r="I22" s="108"/>
      <c r="J22" s="108"/>
      <c r="K22" s="108"/>
      <c r="L22" s="108"/>
      <c r="M22" s="108"/>
      <c r="N22" s="108"/>
      <c r="O22" s="105"/>
      <c r="P22" s="254"/>
      <c r="Q22" s="110"/>
      <c r="R22" s="122"/>
    </row>
    <row r="23" spans="1:18" ht="13.5" customHeight="1">
      <c r="A23" s="120"/>
      <c r="B23" s="522"/>
      <c r="C23" s="522"/>
      <c r="D23" s="111"/>
      <c r="E23" s="111"/>
      <c r="F23" s="110"/>
      <c r="G23" s="110"/>
      <c r="H23" s="110"/>
      <c r="I23" s="110"/>
      <c r="J23" s="110"/>
      <c r="K23" s="110"/>
      <c r="L23" s="110"/>
      <c r="M23" s="110"/>
      <c r="N23" s="254"/>
      <c r="O23" s="254"/>
      <c r="P23" s="254"/>
      <c r="Q23" s="110"/>
      <c r="R23" s="122"/>
    </row>
    <row r="24" spans="1:18" ht="13.5" customHeight="1">
      <c r="A24" s="132"/>
      <c r="B24" s="132"/>
      <c r="F24" s="538" t="s">
        <v>13</v>
      </c>
      <c r="G24" s="538"/>
      <c r="H24" s="538"/>
      <c r="I24" s="538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7.5" customHeight="1">
      <c r="A25" s="132"/>
      <c r="B25" s="132"/>
      <c r="C25" s="132"/>
      <c r="D25" s="110"/>
      <c r="E25" s="110"/>
      <c r="F25" s="254"/>
      <c r="G25" s="254"/>
      <c r="H25" s="254"/>
      <c r="I25" s="254"/>
      <c r="J25" s="254"/>
      <c r="K25" s="127"/>
      <c r="L25" s="127"/>
      <c r="M25" s="254"/>
      <c r="N25" s="254"/>
      <c r="O25" s="254"/>
      <c r="P25" s="254"/>
      <c r="Q25" s="110"/>
      <c r="R25" s="122"/>
    </row>
    <row r="26" spans="1:18" ht="13.5" customHeight="1">
      <c r="D26" s="122"/>
      <c r="E26" s="128"/>
      <c r="F26" s="60">
        <f>IF(F12=0,0,IF(A10=F12,D14,A10))</f>
        <v>0</v>
      </c>
      <c r="G26" s="79" t="str">
        <f>IF(F26=0," ",CONCATENATE(VLOOKUP(F26,Регистрация!$B$7:$N$39,3,FALSE)," ",VLOOKUP(F26,Регистрация!$B$7:$N$39,4,FALSE)))</f>
        <v xml:space="preserve"> </v>
      </c>
      <c r="H26" s="108"/>
      <c r="I26" s="108"/>
      <c r="J26" s="129"/>
      <c r="K26" s="129"/>
      <c r="L26" s="129"/>
      <c r="M26" s="129"/>
      <c r="N26" s="129"/>
      <c r="O26" s="129"/>
      <c r="P26" s="129"/>
      <c r="Q26" s="122"/>
      <c r="R26" s="122"/>
    </row>
    <row r="27" spans="1:18" ht="13.5" customHeight="1">
      <c r="F27" s="99"/>
      <c r="G27" s="116"/>
      <c r="H27" s="61"/>
      <c r="I27" s="79" t="str">
        <f>IF(H27=0," ",CONCATENATE(VLOOKUP(H27,Регистрация!$B$7:$N$39,3,FALSE)," ",VLOOKUP(H27,Регистрация!$B$7:$N$39,4,FALSE)))</f>
        <v xml:space="preserve"> </v>
      </c>
    </row>
    <row r="28" spans="1:18" ht="13.5" customHeight="1">
      <c r="F28" s="60">
        <f>IF(F20=0,0,IF(A18=F20,A22,A18))</f>
        <v>0</v>
      </c>
      <c r="G28" s="79" t="str">
        <f>IF(F28=0," ",CONCATENATE(VLOOKUP(F28,Регистрация!$B$7:$N$39,3,FALSE)," ",VLOOKUP(F28,Регистрация!$B$7:$N$39,4,FALSE)))</f>
        <v xml:space="preserve"> </v>
      </c>
      <c r="H28" s="108"/>
      <c r="I28" s="105"/>
    </row>
    <row r="29" spans="1:18" ht="7.5" customHeight="1">
      <c r="F29" s="99"/>
      <c r="G29" s="111"/>
      <c r="H29" s="108"/>
      <c r="I29" s="105"/>
    </row>
    <row r="30" spans="1:18" ht="17.25" customHeight="1">
      <c r="B30" s="526" t="s">
        <v>16</v>
      </c>
      <c r="C30" s="526"/>
      <c r="D30" s="526"/>
      <c r="E30" s="526"/>
    </row>
    <row r="31" spans="1:18" ht="13.5" customHeight="1">
      <c r="A31" s="81"/>
      <c r="B31" s="130" t="s">
        <v>1</v>
      </c>
      <c r="C31" s="529" t="s">
        <v>17</v>
      </c>
      <c r="D31" s="530"/>
      <c r="E31" s="531"/>
    </row>
    <row r="32" spans="1:18" ht="13.5" customHeight="1">
      <c r="A32" s="64">
        <f>H16</f>
        <v>0</v>
      </c>
      <c r="B32" s="82">
        <v>1</v>
      </c>
      <c r="C32" s="532" t="str">
        <f>IF(A32=0," ",CONCATENATE(VLOOKUP(A32,Регистрация!$B$7:$N$39,3,FALSE)," ",VLOOKUP(A32,Регистрация!$B$7:$N$39,4,FALSE)," ",VLOOKUP(A32,Регистрация!$B$7:$N$39,5,FALSE)," ","(",VLOOKUP(A32,Регистрация!$B$7:$N$39,11,FALSE),")"))</f>
        <v xml:space="preserve"> </v>
      </c>
      <c r="D32" s="532"/>
      <c r="E32" s="532"/>
    </row>
    <row r="33" spans="1:8" ht="13.5" customHeight="1">
      <c r="A33" s="64">
        <f>IF(H16=0,0,IF(H16=F12,F20,F12))</f>
        <v>0</v>
      </c>
      <c r="B33" s="82">
        <v>2</v>
      </c>
      <c r="C33" s="532" t="str">
        <f>IF(A33=0," ",CONCATENATE(VLOOKUP(A33,Регистрация!$B$7:$N$39,3,FALSE)," ",VLOOKUP(A33,Регистрация!$B$7:$N$39,4,FALSE)," ",VLOOKUP(A33,Регистрация!$B$7:$N$39,5,FALSE)," ","(",VLOOKUP(A33,Регистрация!$B$7:$N$39,11,FALSE),")"))</f>
        <v xml:space="preserve"> </v>
      </c>
      <c r="D33" s="532"/>
      <c r="E33" s="532"/>
    </row>
    <row r="34" spans="1:8" ht="13.5" customHeight="1">
      <c r="A34" s="64">
        <f>H27</f>
        <v>0</v>
      </c>
      <c r="B34" s="82">
        <v>3</v>
      </c>
      <c r="C34" s="532" t="str">
        <f>IF(A34=0," ",CONCATENATE(VLOOKUP(A34,Регистрация!$B$7:$N$39,3,FALSE)," ",VLOOKUP(A34,Регистрация!$B$7:$N$39,4,FALSE)," ",VLOOKUP(A34,Регистрация!$B$7:$N$39,5,FALSE)," ","(",VLOOKUP(A34,Регистрация!$B$7:$N$39,11,FALSE),")"))</f>
        <v xml:space="preserve"> </v>
      </c>
      <c r="D34" s="532"/>
      <c r="E34" s="532"/>
    </row>
    <row r="35" spans="1:8" ht="13.5" customHeight="1">
      <c r="A35" s="64">
        <f>IF(H27=0,0,IF(H27=F26,F28,F26))</f>
        <v>0</v>
      </c>
      <c r="B35" s="82">
        <v>4</v>
      </c>
      <c r="C35" s="532" t="str">
        <f>IF(A35=0," ",CONCATENATE(VLOOKUP(A35,Регистрация!$B$7:$N$39,3,FALSE)," ",VLOOKUP(A35,Регистрация!$B$7:$N$39,4,FALSE)," ",VLOOKUP(A35,Регистрация!$B$7:$N$39,5,FALSE)," ","(",VLOOKUP(A35,Регистрация!$B$7:$N$39,11,FALSE),")"))</f>
        <v xml:space="preserve"> </v>
      </c>
      <c r="D35" s="532"/>
      <c r="E35" s="532"/>
    </row>
    <row r="36" spans="1:8" ht="15.75" customHeight="1"/>
    <row r="37" spans="1:8" s="251" customFormat="1" ht="15.75" customHeight="1">
      <c r="A37" s="527" t="s">
        <v>14</v>
      </c>
      <c r="B37" s="527"/>
      <c r="C37" s="527"/>
      <c r="D37" s="131"/>
      <c r="E37" s="131"/>
      <c r="F37" s="131"/>
      <c r="H37" s="251" t="str">
        <f>Регистрация!N73</f>
        <v>Цыльев В.А. С1К</v>
      </c>
    </row>
    <row r="38" spans="1:8" s="251" customFormat="1" ht="16.5" customHeight="1"/>
    <row r="39" spans="1:8" s="251" customFormat="1" ht="15.75" customHeight="1">
      <c r="A39" s="527" t="s">
        <v>15</v>
      </c>
      <c r="B39" s="527"/>
      <c r="C39" s="527"/>
      <c r="D39" s="131"/>
      <c r="E39" s="131"/>
      <c r="F39" s="131"/>
      <c r="H39" s="251" t="str">
        <f>Регистрация!N74</f>
        <v>Орлова Е.С 3 К</v>
      </c>
    </row>
  </sheetData>
  <mergeCells count="26">
    <mergeCell ref="A7:I7"/>
    <mergeCell ref="A37:C37"/>
    <mergeCell ref="A39:C39"/>
    <mergeCell ref="B30:E30"/>
    <mergeCell ref="C31:E31"/>
    <mergeCell ref="C32:E32"/>
    <mergeCell ref="C33:E33"/>
    <mergeCell ref="C34:E34"/>
    <mergeCell ref="C35:E35"/>
    <mergeCell ref="F24:I24"/>
    <mergeCell ref="B9:C9"/>
    <mergeCell ref="B10:E10"/>
    <mergeCell ref="B11:C11"/>
    <mergeCell ref="B13:C13"/>
    <mergeCell ref="B15:C15"/>
    <mergeCell ref="B17:C17"/>
    <mergeCell ref="B18:E18"/>
    <mergeCell ref="B19:C19"/>
    <mergeCell ref="B21:C21"/>
    <mergeCell ref="B22:E22"/>
    <mergeCell ref="B23:C23"/>
    <mergeCell ref="A1:I1"/>
    <mergeCell ref="A3:I3"/>
    <mergeCell ref="A5:C5"/>
    <mergeCell ref="D5:G5"/>
    <mergeCell ref="J5:L5"/>
  </mergeCells>
  <pageMargins left="0.7" right="0.7" top="0.28999999999999998" bottom="0.75" header="0.15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W39"/>
  <sheetViews>
    <sheetView showGridLines="0" showZeros="0" topLeftCell="A19" workbookViewId="0">
      <selection activeCell="Q30" sqref="Q30"/>
    </sheetView>
  </sheetViews>
  <sheetFormatPr defaultColWidth="9.1796875" defaultRowHeight="11.15" customHeight="1"/>
  <cols>
    <col min="1" max="1" width="1.81640625" style="104" bestFit="1" customWidth="1"/>
    <col min="2" max="2" width="5.7265625" style="104" bestFit="1" customWidth="1"/>
    <col min="3" max="3" width="33.81640625" style="104" customWidth="1"/>
    <col min="4" max="4" width="1.81640625" style="104" bestFit="1" customWidth="1"/>
    <col min="5" max="5" width="20.54296875" style="104" customWidth="1"/>
    <col min="6" max="6" width="1.81640625" style="104" bestFit="1" customWidth="1"/>
    <col min="7" max="7" width="20.54296875" style="104" customWidth="1"/>
    <col min="8" max="8" width="1.81640625" style="104" bestFit="1" customWidth="1"/>
    <col min="9" max="9" width="20.54296875" style="104" customWidth="1"/>
    <col min="10" max="24" width="3.453125" style="104" customWidth="1"/>
    <col min="25" max="16384" width="9.1796875" style="104"/>
  </cols>
  <sheetData>
    <row r="1" spans="1:23" ht="14">
      <c r="A1" s="534" t="str">
        <f>Регистрация!A1</f>
        <v xml:space="preserve"> Межмуниципальные соревнования по всестилевому каратэ "Первый старт" 27 сентября 2025 г.</v>
      </c>
      <c r="B1" s="534"/>
      <c r="C1" s="534"/>
      <c r="D1" s="534"/>
      <c r="E1" s="534"/>
      <c r="F1" s="534"/>
      <c r="G1" s="534"/>
      <c r="H1" s="534"/>
      <c r="I1" s="534"/>
      <c r="J1" s="76"/>
      <c r="K1" s="76"/>
      <c r="L1" s="76"/>
      <c r="M1" s="76"/>
      <c r="N1" s="76"/>
      <c r="O1" s="76"/>
      <c r="P1" s="76"/>
      <c r="Q1" s="76"/>
      <c r="R1" s="76"/>
    </row>
    <row r="2" spans="1:23" ht="14">
      <c r="A2" s="139"/>
      <c r="B2" s="139"/>
      <c r="C2" s="139"/>
      <c r="D2" s="139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4">
      <c r="A3" s="535" t="str">
        <f>Регистрация!A2</f>
        <v>Вид спорта: ВСЕСТИЛЕВОЕ КАРАТЭ (номер-код вида спорта - 0900001411Я)</v>
      </c>
      <c r="B3" s="535"/>
      <c r="C3" s="535"/>
      <c r="D3" s="535"/>
      <c r="E3" s="535"/>
      <c r="F3" s="535"/>
      <c r="G3" s="535"/>
      <c r="H3" s="535"/>
      <c r="I3" s="535"/>
      <c r="J3" s="76"/>
      <c r="K3" s="76"/>
      <c r="L3" s="76"/>
      <c r="M3" s="76"/>
      <c r="N3" s="76"/>
      <c r="O3" s="76"/>
      <c r="P3" s="76"/>
      <c r="Q3" s="76"/>
      <c r="R3" s="76"/>
    </row>
    <row r="4" spans="1:23" ht="13">
      <c r="A4" s="77"/>
      <c r="B4" s="77"/>
      <c r="C4" s="77"/>
      <c r="D4" s="77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">
      <c r="A5" s="537" t="str">
        <f>Регистрация!A3</f>
        <v>Женщины 18 +  ОК-двоеборье</v>
      </c>
      <c r="B5" s="537"/>
      <c r="C5" s="537"/>
      <c r="D5" s="537" t="str">
        <f>Регистрация!G3</f>
        <v>г. Санкт-Петербург</v>
      </c>
      <c r="E5" s="537"/>
      <c r="F5" s="537"/>
      <c r="G5" s="537"/>
      <c r="H5" s="255"/>
      <c r="I5" s="143" t="str">
        <f>Регистрация!L3</f>
        <v>27 сентября 2025</v>
      </c>
      <c r="J5" s="533"/>
      <c r="K5" s="533"/>
      <c r="L5" s="533"/>
      <c r="M5" s="77"/>
      <c r="N5" s="77"/>
      <c r="O5" s="77"/>
      <c r="P5" s="77"/>
      <c r="Q5" s="144"/>
      <c r="R5" s="144"/>
    </row>
    <row r="6" spans="1:23" ht="13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">
      <c r="A7" s="537" t="s">
        <v>18</v>
      </c>
      <c r="B7" s="537"/>
      <c r="C7" s="537"/>
      <c r="D7" s="537"/>
      <c r="E7" s="537"/>
      <c r="F7" s="537"/>
      <c r="G7" s="537"/>
      <c r="H7" s="537"/>
      <c r="I7" s="537"/>
      <c r="J7" s="77"/>
      <c r="K7" s="77"/>
      <c r="L7" s="77"/>
      <c r="M7" s="77"/>
      <c r="N7" s="77"/>
      <c r="O7" s="77"/>
      <c r="P7" s="77"/>
      <c r="Q7" s="144"/>
      <c r="R7" s="144"/>
    </row>
    <row r="8" spans="1:23" s="109" customFormat="1" ht="15.5">
      <c r="A8" s="144"/>
      <c r="B8" s="144"/>
      <c r="C8" s="105"/>
      <c r="D8" s="106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23" s="261" customFormat="1" ht="14">
      <c r="A9" s="99"/>
      <c r="B9" s="522"/>
      <c r="C9" s="522"/>
      <c r="D9" s="111"/>
      <c r="E9" s="111"/>
      <c r="F9" s="108"/>
      <c r="G9" s="108"/>
      <c r="H9" s="108"/>
      <c r="I9" s="84"/>
      <c r="J9" s="84"/>
      <c r="K9" s="84"/>
      <c r="L9" s="84"/>
      <c r="M9" s="108"/>
      <c r="N9" s="108"/>
      <c r="O9" s="108"/>
      <c r="P9" s="110"/>
      <c r="Q9" s="112"/>
      <c r="R9" s="112"/>
      <c r="S9" s="260"/>
    </row>
    <row r="10" spans="1:23" s="262" customFormat="1" ht="15.5">
      <c r="A10" s="80">
        <v>1</v>
      </c>
      <c r="B10" s="523" t="str">
        <f>IF(Регистрация!$D$6&lt;A10," ",CONCATENATE(VLOOKUP(A10,Регистрация!$B$7:$N$39,3,FALSE)," ",VLOOKUP(A10,Регистрация!$B$7:$N$39,4,FALSE)," ","(",VLOOKUP(A10,Регистрация!$B$7:$N$39,11,FALSE),")"))</f>
        <v>Сугралиева Арина (Политех)</v>
      </c>
      <c r="C10" s="524"/>
      <c r="D10" s="524"/>
      <c r="E10" s="525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110"/>
      <c r="Q10" s="113"/>
      <c r="R10" s="113"/>
      <c r="S10" s="260"/>
    </row>
    <row r="11" spans="1:23" s="109" customFormat="1" ht="15.5">
      <c r="A11" s="99"/>
      <c r="B11" s="522"/>
      <c r="C11" s="522"/>
      <c r="D11" s="99"/>
      <c r="E11" s="116"/>
      <c r="F11" s="108"/>
      <c r="G11" s="108"/>
      <c r="H11" s="108"/>
      <c r="I11" s="105"/>
      <c r="J11" s="108"/>
      <c r="K11" s="108"/>
      <c r="L11" s="105"/>
      <c r="M11" s="108"/>
      <c r="N11" s="108"/>
      <c r="O11" s="108"/>
      <c r="P11" s="254"/>
      <c r="Q11" s="105"/>
      <c r="R11" s="105"/>
      <c r="S11" s="132"/>
    </row>
    <row r="12" spans="1:23" s="261" customFormat="1" ht="14">
      <c r="A12" s="99"/>
      <c r="B12" s="250"/>
      <c r="C12" s="250"/>
      <c r="D12" s="99"/>
      <c r="E12" s="116"/>
      <c r="F12" s="61">
        <v>5</v>
      </c>
      <c r="G12" s="79" t="str">
        <f>IF(F12=0," ",CONCATENATE(VLOOKUP(F12,Регистрация!$B$7:$N$39,3,FALSE)," ",VLOOKUP(F12,Регистрация!$B$7:$N$39,4,FALSE)))</f>
        <v>Носкова Александра</v>
      </c>
      <c r="H12" s="108"/>
      <c r="I12" s="108"/>
      <c r="J12" s="108"/>
      <c r="K12" s="108"/>
      <c r="L12" s="108"/>
      <c r="M12" s="108"/>
      <c r="N12" s="108"/>
      <c r="O12" s="105"/>
      <c r="P12" s="108"/>
      <c r="Q12" s="112"/>
      <c r="R12" s="112"/>
      <c r="S12" s="260"/>
    </row>
    <row r="13" spans="1:23" s="109" customFormat="1" ht="15.5">
      <c r="A13" s="80">
        <v>3</v>
      </c>
      <c r="B13" s="523" t="str">
        <f>IF(Регистрация!$D$6&lt;A13," ",CONCATENATE(VLOOKUP(A13,Регистрация!$B$7:$N$39,3,FALSE)," ",VLOOKUP(A13,Регистрация!$B$7:$N$39,4,FALSE)," ","(",VLOOKUP(A13,Регистрация!$B$7:$N$39,11,FALSE),")"))</f>
        <v>Паранина Полина (Политех)</v>
      </c>
      <c r="C13" s="525"/>
      <c r="D13" s="99"/>
      <c r="E13" s="117"/>
      <c r="F13" s="99"/>
      <c r="G13" s="115"/>
      <c r="H13" s="108"/>
      <c r="I13" s="108"/>
      <c r="J13" s="108"/>
      <c r="K13" s="108"/>
      <c r="L13" s="108"/>
      <c r="M13" s="108"/>
      <c r="N13" s="108"/>
      <c r="O13" s="105"/>
      <c r="P13" s="254"/>
      <c r="Q13" s="105"/>
      <c r="R13" s="105"/>
      <c r="S13" s="132"/>
    </row>
    <row r="14" spans="1:23" s="261" customFormat="1" ht="14">
      <c r="A14" s="99"/>
      <c r="B14" s="250"/>
      <c r="C14" s="250"/>
      <c r="D14" s="60">
        <v>5</v>
      </c>
      <c r="E14" s="79" t="str">
        <f>IF(D14=0," ",CONCATENATE(VLOOKUP(D14,Регистрация!$B$7:$N$39,3,FALSE)," ",VLOOKUP(D14,Регистрация!$B$7:$N$39,4,FALSE)))</f>
        <v>Носкова Александра</v>
      </c>
      <c r="F14" s="99"/>
      <c r="G14" s="116"/>
      <c r="H14" s="108"/>
      <c r="I14" s="108"/>
      <c r="J14" s="108"/>
      <c r="K14" s="108"/>
      <c r="L14" s="108"/>
      <c r="M14" s="119"/>
      <c r="N14" s="119"/>
      <c r="O14" s="119"/>
      <c r="P14" s="119"/>
      <c r="Q14" s="112"/>
      <c r="R14" s="112"/>
      <c r="S14" s="260"/>
    </row>
    <row r="15" spans="1:23" s="261" customFormat="1" ht="14">
      <c r="A15" s="80">
        <v>5</v>
      </c>
      <c r="B15" s="523" t="str">
        <f>IF(Регистрация!$D$6&lt;A15," ",CONCATENATE(VLOOKUP(A15,Регистрация!$B$7:$N$39,3,FALSE)," ",VLOOKUP(A15,Регистрация!$B$7:$N$39,4,FALSE)," ","(",VLOOKUP(A15,Регистрация!$B$7:$N$39,11,FALSE),")"))</f>
        <v>Носкова Александра (Политех)</v>
      </c>
      <c r="C15" s="525"/>
      <c r="D15" s="99"/>
      <c r="E15" s="250"/>
      <c r="F15" s="99"/>
      <c r="G15" s="116"/>
      <c r="H15" s="108"/>
      <c r="I15" s="96"/>
      <c r="J15" s="96"/>
      <c r="K15" s="96"/>
      <c r="L15" s="96"/>
      <c r="M15" s="108"/>
      <c r="N15" s="108"/>
      <c r="O15" s="108"/>
      <c r="P15" s="133"/>
      <c r="Q15" s="112"/>
      <c r="R15" s="112"/>
      <c r="S15" s="260"/>
      <c r="W15" s="263"/>
    </row>
    <row r="16" spans="1:23" ht="15.5">
      <c r="A16" s="120"/>
      <c r="B16" s="250"/>
      <c r="C16" s="250"/>
      <c r="D16" s="120"/>
      <c r="E16" s="250"/>
      <c r="F16" s="99"/>
      <c r="G16" s="116"/>
      <c r="H16" s="61">
        <v>5</v>
      </c>
      <c r="I16" s="79" t="str">
        <f>IF(H16=0," ",CONCATENATE(VLOOKUP(H16,Регистрация!$B$7:$N$39,3,FALSE)," ",VLOOKUP(H16,Регистрация!$B$7:$N$39,4,FALSE)))</f>
        <v>Носкова Александра</v>
      </c>
      <c r="J16" s="105"/>
      <c r="K16" s="105"/>
      <c r="L16" s="105"/>
      <c r="M16" s="108"/>
      <c r="N16" s="108"/>
      <c r="O16" s="108"/>
      <c r="P16" s="121"/>
      <c r="Q16" s="109"/>
      <c r="R16" s="122"/>
    </row>
    <row r="17" spans="1:18" ht="14">
      <c r="A17" s="120"/>
      <c r="B17" s="522"/>
      <c r="C17" s="522"/>
      <c r="D17" s="99"/>
      <c r="E17" s="250"/>
      <c r="F17" s="99"/>
      <c r="G17" s="116"/>
      <c r="J17" s="123"/>
      <c r="K17" s="123"/>
      <c r="L17" s="123"/>
      <c r="M17" s="108"/>
      <c r="N17" s="108"/>
      <c r="O17" s="105"/>
      <c r="P17" s="254"/>
      <c r="Q17" s="110"/>
      <c r="R17" s="122"/>
    </row>
    <row r="18" spans="1:18" ht="14">
      <c r="A18" s="80">
        <v>2</v>
      </c>
      <c r="B18" s="528" t="str">
        <f>IF(Регистрация!$D$6&lt;A18," ",CONCATENATE(VLOOKUP(A18,Регистрация!$B$7:$N$39,3,FALSE)," ",VLOOKUP(A18,Регистрация!$B$7:$N$39,4,FALSE)," ","(",VLOOKUP(A18,Регистрация!$B$7:$N$39,11,FALSE),")"))</f>
        <v>Хохлова Элина (WSKF)</v>
      </c>
      <c r="C18" s="528"/>
      <c r="D18" s="528"/>
      <c r="E18" s="528"/>
      <c r="F18" s="99"/>
      <c r="G18" s="116"/>
      <c r="H18" s="108"/>
      <c r="I18" s="108"/>
      <c r="J18" s="108"/>
      <c r="K18" s="108"/>
      <c r="L18" s="108"/>
      <c r="M18" s="108"/>
      <c r="N18" s="108"/>
      <c r="O18" s="105"/>
      <c r="P18" s="254"/>
      <c r="Q18" s="110"/>
      <c r="R18" s="122"/>
    </row>
    <row r="19" spans="1:18" ht="14">
      <c r="A19" s="120"/>
      <c r="B19" s="522"/>
      <c r="C19" s="522"/>
      <c r="D19" s="99"/>
      <c r="E19" s="116"/>
      <c r="F19" s="99"/>
      <c r="G19" s="117"/>
      <c r="H19" s="108"/>
      <c r="I19" s="105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4">
      <c r="A20" s="120"/>
      <c r="B20" s="250"/>
      <c r="C20" s="250"/>
      <c r="D20" s="99"/>
      <c r="E20" s="116"/>
      <c r="F20" s="61">
        <v>2</v>
      </c>
      <c r="G20" s="79" t="str">
        <f>IF(F20=0," ",CONCATENATE(VLOOKUP(F20,Регистрация!$B$7:$N$39,3,FALSE)," ",VLOOKUP(F20,Регистрация!$B$7:$N$39,4,FALSE)))</f>
        <v>Хохлова Элина</v>
      </c>
      <c r="H20" s="108"/>
      <c r="I20" s="105"/>
      <c r="J20" s="108"/>
      <c r="K20" s="108"/>
      <c r="L20" s="105"/>
      <c r="M20" s="108"/>
      <c r="N20" s="108"/>
      <c r="O20" s="108"/>
      <c r="P20" s="254"/>
      <c r="Q20" s="110"/>
      <c r="R20" s="122"/>
    </row>
    <row r="21" spans="1:18" ht="14">
      <c r="A21" s="126">
        <v>4</v>
      </c>
      <c r="B21" s="523" t="str">
        <f>IF(Регистрация!$D$6&lt;A21," ",CONCATENATE(VLOOKUP(A21,Регистрация!$B$7:$N$39,3,FALSE)," ",VLOOKUP(A21,Регистрация!$B$7:$N$39,4,FALSE)," ","(",VLOOKUP(A21,Регистрация!$B$7:$N$39,11,FALSE),")"))</f>
        <v>Шайдулина Алина (Политех)</v>
      </c>
      <c r="C21" s="525"/>
      <c r="D21" s="99"/>
      <c r="E21" s="117"/>
      <c r="F21" s="105"/>
      <c r="G21" s="111"/>
      <c r="H21" s="108"/>
      <c r="I21" s="125"/>
      <c r="J21" s="125"/>
      <c r="K21" s="125"/>
      <c r="L21" s="125"/>
      <c r="M21" s="108"/>
      <c r="N21" s="108"/>
      <c r="O21" s="105"/>
      <c r="P21" s="254"/>
      <c r="Q21" s="110"/>
      <c r="R21" s="122"/>
    </row>
    <row r="22" spans="1:18" ht="14">
      <c r="A22" s="120"/>
      <c r="B22" s="250"/>
      <c r="C22" s="250"/>
      <c r="D22" s="60">
        <v>4</v>
      </c>
      <c r="E22" s="79" t="str">
        <f>IF(D22=0," ",CONCATENATE(VLOOKUP(D22,Регистрация!$B$7:$N$39,3,FALSE)," ",VLOOKUP(D22,Регистрация!$B$7:$N$39,4,FALSE)))</f>
        <v>Шайдулина Алина</v>
      </c>
      <c r="F22" s="105"/>
      <c r="G22" s="108"/>
      <c r="H22" s="108"/>
      <c r="I22" s="108"/>
      <c r="J22" s="108"/>
      <c r="K22" s="108"/>
      <c r="L22" s="108"/>
      <c r="M22" s="108"/>
      <c r="N22" s="108"/>
      <c r="O22" s="105"/>
      <c r="P22" s="254"/>
      <c r="Q22" s="110"/>
      <c r="R22" s="122"/>
    </row>
    <row r="23" spans="1:18" ht="14">
      <c r="A23" s="126">
        <v>6</v>
      </c>
      <c r="B23" s="523" t="str">
        <f>IF(Регистрация!$D$6&lt;A23," ",CONCATENATE(VLOOKUP(A23,Регистрация!$B$7:$N$39,3,FALSE)," ",VLOOKUP(A23,Регистрация!$B$7:$N$39,4,FALSE)," ","(",VLOOKUP(A23,Регистрация!$B$7:$N$39,11,FALSE),")"))</f>
        <v>Павлова Мария (Политех)</v>
      </c>
      <c r="C23" s="525"/>
      <c r="D23" s="111"/>
      <c r="E23" s="111"/>
      <c r="F23" s="110"/>
      <c r="G23" s="110"/>
      <c r="H23" s="110"/>
      <c r="I23" s="110"/>
      <c r="J23" s="110"/>
      <c r="K23" s="110"/>
      <c r="L23" s="110"/>
      <c r="M23" s="110"/>
      <c r="N23" s="254"/>
      <c r="O23" s="254"/>
      <c r="P23" s="254"/>
      <c r="Q23" s="110"/>
      <c r="R23" s="122"/>
    </row>
    <row r="24" spans="1:18" ht="13">
      <c r="A24" s="132"/>
      <c r="B24" s="132"/>
      <c r="F24" s="538" t="s">
        <v>13</v>
      </c>
      <c r="G24" s="538"/>
      <c r="H24" s="538"/>
      <c r="I24" s="538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4">
      <c r="A25" s="132"/>
      <c r="B25" s="132"/>
      <c r="C25" s="132"/>
      <c r="D25" s="110"/>
      <c r="E25" s="110"/>
      <c r="F25" s="254"/>
      <c r="G25" s="254"/>
      <c r="H25" s="254"/>
      <c r="I25" s="254"/>
      <c r="J25" s="254"/>
      <c r="K25" s="127"/>
      <c r="L25" s="127"/>
      <c r="M25" s="254"/>
      <c r="N25" s="254"/>
      <c r="O25" s="254"/>
      <c r="P25" s="254"/>
      <c r="Q25" s="110"/>
      <c r="R25" s="122"/>
    </row>
    <row r="26" spans="1:18" ht="14">
      <c r="D26" s="122"/>
      <c r="E26" s="128"/>
      <c r="F26" s="60">
        <f>IF(F12=0,0,IF(F12=A10,D14,A10))</f>
        <v>1</v>
      </c>
      <c r="G26" s="79" t="str">
        <f>IF(F26=0," ",CONCATENATE(VLOOKUP(F26,Регистрация!$B$7:$N$39,3,FALSE)," ",VLOOKUP(F26,Регистрация!$B$7:$N$39,4,FALSE)))</f>
        <v>Сугралиева Арина</v>
      </c>
      <c r="H26" s="108"/>
      <c r="I26" s="108"/>
      <c r="J26" s="129"/>
      <c r="K26" s="129"/>
      <c r="L26" s="129"/>
      <c r="M26" s="129"/>
      <c r="N26" s="129"/>
      <c r="O26" s="129"/>
      <c r="P26" s="129"/>
      <c r="Q26" s="122"/>
      <c r="R26" s="122"/>
    </row>
    <row r="27" spans="1:18" ht="13">
      <c r="F27" s="256"/>
      <c r="G27" s="116"/>
      <c r="H27" s="61">
        <v>4</v>
      </c>
      <c r="I27" s="79" t="str">
        <f>IF(H27=0," ",CONCATENATE(VLOOKUP(H27,Регистрация!$B$7:$N$39,3,FALSE)," ",VLOOKUP(H27,Регистрация!$B$7:$N$39,4,FALSE)))</f>
        <v>Шайдулина Алина</v>
      </c>
    </row>
    <row r="28" spans="1:18" ht="14">
      <c r="F28" s="60">
        <v>4</v>
      </c>
      <c r="G28" s="79" t="str">
        <f>IF(F28=0," ",CONCATENATE(VLOOKUP(F28,Регистрация!$B$7:$N$39,3,FALSE)," ",VLOOKUP(F28,Регистрация!$B$7:$N$39,4,FALSE)))</f>
        <v>Шайдулина Алина</v>
      </c>
      <c r="H28" s="108"/>
      <c r="I28" s="105"/>
    </row>
    <row r="29" spans="1:18" ht="14">
      <c r="F29" s="99"/>
      <c r="G29" s="111"/>
      <c r="H29" s="108"/>
      <c r="I29" s="105"/>
    </row>
    <row r="30" spans="1:18" ht="13">
      <c r="B30" s="526" t="s">
        <v>16</v>
      </c>
      <c r="C30" s="526"/>
      <c r="D30" s="526"/>
      <c r="E30" s="526"/>
    </row>
    <row r="31" spans="1:18" ht="13">
      <c r="A31" s="81"/>
      <c r="B31" s="130" t="s">
        <v>1</v>
      </c>
      <c r="C31" s="529" t="s">
        <v>48</v>
      </c>
      <c r="D31" s="530"/>
      <c r="E31" s="531"/>
    </row>
    <row r="32" spans="1:18" ht="14">
      <c r="A32" s="64">
        <f>H16</f>
        <v>5</v>
      </c>
      <c r="B32" s="82">
        <v>1</v>
      </c>
      <c r="C32" s="532" t="str">
        <f>IF(A32=0," ",CONCATENATE(VLOOKUP(A32,Регистрация!$B$7:$N$39,3,FALSE)," ",VLOOKUP(A32,Регистрация!$B$7:$N$39,4,FALSE)," ",VLOOKUP(A32,Регистрация!$B$7:$N$39,5,FALSE)," ","(",VLOOKUP(A32,Регистрация!$B$7:$N$39,11,FALSE),")"))</f>
        <v>Носкова Александра Сергеевна (Политех)</v>
      </c>
      <c r="D32" s="532"/>
      <c r="E32" s="532"/>
    </row>
    <row r="33" spans="1:8" ht="14">
      <c r="A33" s="64">
        <f>IF(H16=0,0,IF(H16=F12,F20,F12))</f>
        <v>2</v>
      </c>
      <c r="B33" s="82">
        <v>2</v>
      </c>
      <c r="C33" s="532" t="str">
        <f>IF(A33=0," ",CONCATENATE(VLOOKUP(A33,Регистрация!$B$7:$N$39,3,FALSE)," ",VLOOKUP(A33,Регистрация!$B$7:$N$39,4,FALSE)," ",VLOOKUP(A33,Регистрация!$B$7:$N$39,5,FALSE)," ","(",VLOOKUP(A33,Регистрация!$B$7:$N$39,11,FALSE),")"))</f>
        <v>Хохлова Элина Александровна (WSKF)</v>
      </c>
      <c r="D33" s="532"/>
      <c r="E33" s="532"/>
    </row>
    <row r="34" spans="1:8" ht="14">
      <c r="A34" s="64">
        <f>H27</f>
        <v>4</v>
      </c>
      <c r="B34" s="82">
        <v>3</v>
      </c>
      <c r="C34" s="532" t="str">
        <f>IF(A34=0," ",CONCATENATE(VLOOKUP(A34,Регистрация!$B$7:$N$39,3,FALSE)," ",VLOOKUP(A34,Регистрация!$B$7:$N$39,4,FALSE)," ",VLOOKUP(A34,Регистрация!$B$7:$N$39,5,FALSE)," ","(",VLOOKUP(A34,Регистрация!$B$7:$N$39,11,FALSE),")"))</f>
        <v>Шайдулина Алина Викторовна (Политех)</v>
      </c>
      <c r="D34" s="532"/>
      <c r="E34" s="532"/>
    </row>
    <row r="35" spans="1:8" ht="14">
      <c r="A35" s="64">
        <f>IF(H27=0,0,IF(H27=F26,F28,F26))</f>
        <v>1</v>
      </c>
      <c r="B35" s="82">
        <v>4</v>
      </c>
      <c r="C35" s="532" t="str">
        <f>IF(A35=0," ",CONCATENATE(VLOOKUP(A35,Регистрация!$B$7:$N$39,3,FALSE)," ",VLOOKUP(A35,Регистрация!$B$7:$N$39,4,FALSE)," ",VLOOKUP(A35,Регистрация!$B$7:$N$39,5,FALSE)," ","(",VLOOKUP(A35,Регистрация!$B$7:$N$39,11,FALSE),")"))</f>
        <v>Сугралиева Арина Маратовна (Политех)</v>
      </c>
      <c r="D35" s="532"/>
      <c r="E35" s="532"/>
    </row>
    <row r="36" spans="1:8" ht="13"/>
    <row r="37" spans="1:8" s="251" customFormat="1" ht="13">
      <c r="A37" s="527" t="s">
        <v>14</v>
      </c>
      <c r="B37" s="527"/>
      <c r="C37" s="527"/>
      <c r="D37" s="131"/>
      <c r="E37" s="131"/>
      <c r="F37" s="131"/>
      <c r="H37" s="251" t="str">
        <f>Регистрация!N73</f>
        <v>Цыльев В.А. С1К</v>
      </c>
    </row>
    <row r="38" spans="1:8" s="251" customFormat="1" ht="13"/>
    <row r="39" spans="1:8" s="251" customFormat="1" ht="13">
      <c r="A39" s="527" t="s">
        <v>15</v>
      </c>
      <c r="B39" s="527"/>
      <c r="C39" s="527"/>
      <c r="D39" s="131"/>
      <c r="E39" s="131"/>
      <c r="F39" s="131"/>
      <c r="H39" s="251" t="str">
        <f>Регистрация!N74</f>
        <v>Орлова Е.С 3 К</v>
      </c>
    </row>
  </sheetData>
  <mergeCells count="25">
    <mergeCell ref="B30:E30"/>
    <mergeCell ref="B9:C9"/>
    <mergeCell ref="B10:E10"/>
    <mergeCell ref="B11:C11"/>
    <mergeCell ref="B13:C13"/>
    <mergeCell ref="B15:C15"/>
    <mergeCell ref="B17:C17"/>
    <mergeCell ref="A39:C39"/>
    <mergeCell ref="C31:E31"/>
    <mergeCell ref="C32:E32"/>
    <mergeCell ref="C33:E33"/>
    <mergeCell ref="C34:E34"/>
    <mergeCell ref="C35:E35"/>
    <mergeCell ref="A37:C37"/>
    <mergeCell ref="A1:I1"/>
    <mergeCell ref="A3:I3"/>
    <mergeCell ref="A5:C5"/>
    <mergeCell ref="D5:G5"/>
    <mergeCell ref="F24:I24"/>
    <mergeCell ref="A7:I7"/>
    <mergeCell ref="J5:L5"/>
    <mergeCell ref="B18:E18"/>
    <mergeCell ref="B19:C19"/>
    <mergeCell ref="B21:C21"/>
    <mergeCell ref="B23:C23"/>
  </mergeCells>
  <pageMargins left="0.7" right="0.7" top="0.32" bottom="0.25" header="0.11" footer="0.15"/>
  <pageSetup paperSize="9"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W39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1.81640625" style="104" bestFit="1" customWidth="1"/>
    <col min="2" max="2" width="5.7265625" style="104" bestFit="1" customWidth="1"/>
    <col min="3" max="3" width="33.81640625" style="104" customWidth="1"/>
    <col min="4" max="4" width="1.81640625" style="104" bestFit="1" customWidth="1"/>
    <col min="5" max="5" width="20.54296875" style="104" customWidth="1"/>
    <col min="6" max="6" width="1.81640625" style="104" bestFit="1" customWidth="1"/>
    <col min="7" max="7" width="20.54296875" style="104" customWidth="1"/>
    <col min="8" max="8" width="1.81640625" style="104" bestFit="1" customWidth="1"/>
    <col min="9" max="9" width="20.54296875" style="104" customWidth="1"/>
    <col min="10" max="24" width="3.453125" style="104" customWidth="1"/>
    <col min="25" max="16384" width="9.1796875" style="104"/>
  </cols>
  <sheetData>
    <row r="1" spans="1:23" ht="14">
      <c r="A1" s="534" t="str">
        <f>Регистрация!A1</f>
        <v xml:space="preserve"> Межмуниципальные соревнования по всестилевому каратэ "Первый старт" 27 сентября 2025 г.</v>
      </c>
      <c r="B1" s="534"/>
      <c r="C1" s="534"/>
      <c r="D1" s="534"/>
      <c r="E1" s="534"/>
      <c r="F1" s="534"/>
      <c r="G1" s="534"/>
      <c r="H1" s="534"/>
      <c r="I1" s="534"/>
      <c r="J1" s="76"/>
      <c r="K1" s="76"/>
      <c r="L1" s="76"/>
      <c r="M1" s="76"/>
      <c r="N1" s="76"/>
      <c r="O1" s="76"/>
      <c r="P1" s="76"/>
      <c r="Q1" s="76"/>
      <c r="R1" s="76"/>
    </row>
    <row r="2" spans="1:23" ht="6" customHeight="1">
      <c r="A2" s="139"/>
      <c r="B2" s="139"/>
      <c r="C2" s="139"/>
      <c r="D2" s="139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2.75" customHeight="1">
      <c r="A3" s="535" t="str">
        <f>Регистрация!A2</f>
        <v>Вид спорта: ВСЕСТИЛЕВОЕ КАРАТЭ (номер-код вида спорта - 0900001411Я)</v>
      </c>
      <c r="B3" s="535"/>
      <c r="C3" s="535"/>
      <c r="D3" s="535"/>
      <c r="E3" s="535"/>
      <c r="F3" s="535"/>
      <c r="G3" s="535"/>
      <c r="H3" s="535"/>
      <c r="I3" s="535"/>
      <c r="J3" s="76"/>
      <c r="K3" s="76"/>
      <c r="L3" s="76"/>
      <c r="M3" s="76"/>
      <c r="N3" s="76"/>
      <c r="O3" s="76"/>
      <c r="P3" s="76"/>
      <c r="Q3" s="76"/>
      <c r="R3" s="76"/>
    </row>
    <row r="4" spans="1:23" ht="6.75" customHeight="1">
      <c r="A4" s="77"/>
      <c r="B4" s="77"/>
      <c r="C4" s="77"/>
      <c r="D4" s="77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2.75" customHeight="1">
      <c r="A5" s="537" t="str">
        <f>Регистрация!A3</f>
        <v>Женщины 18 +  ОК-двоеборье</v>
      </c>
      <c r="B5" s="537"/>
      <c r="C5" s="537"/>
      <c r="D5" s="537" t="str">
        <f>Регистрация!G3</f>
        <v>г. Санкт-Петербург</v>
      </c>
      <c r="E5" s="537"/>
      <c r="F5" s="537"/>
      <c r="G5" s="537"/>
      <c r="H5" s="255"/>
      <c r="I5" s="143" t="str">
        <f>Регистрация!L3</f>
        <v>27 сентября 2025</v>
      </c>
      <c r="J5" s="533">
        <f>Регистрация!N3</f>
        <v>0</v>
      </c>
      <c r="K5" s="533"/>
      <c r="L5" s="533"/>
      <c r="M5" s="77"/>
      <c r="N5" s="77"/>
      <c r="O5" s="77"/>
      <c r="P5" s="77"/>
      <c r="Q5" s="144"/>
      <c r="R5" s="144"/>
    </row>
    <row r="6" spans="1:23" ht="12.7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2.75" customHeight="1">
      <c r="A7" s="537" t="s">
        <v>18</v>
      </c>
      <c r="B7" s="537"/>
      <c r="C7" s="537"/>
      <c r="D7" s="537"/>
      <c r="E7" s="537"/>
      <c r="F7" s="537"/>
      <c r="G7" s="537"/>
      <c r="H7" s="537"/>
      <c r="I7" s="537"/>
      <c r="J7" s="77"/>
      <c r="K7" s="77"/>
      <c r="L7" s="77"/>
      <c r="M7" s="77"/>
      <c r="N7" s="77"/>
      <c r="O7" s="77"/>
      <c r="P7" s="77"/>
      <c r="Q7" s="144"/>
      <c r="R7" s="144"/>
    </row>
    <row r="8" spans="1:23" s="109" customFormat="1" ht="15" customHeight="1">
      <c r="A8" s="144"/>
      <c r="B8" s="144"/>
      <c r="C8" s="105"/>
      <c r="D8" s="106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23" s="261" customFormat="1" ht="13.5" customHeight="1">
      <c r="A9" s="99"/>
      <c r="B9" s="522"/>
      <c r="C9" s="522"/>
      <c r="D9" s="111"/>
      <c r="E9" s="111"/>
      <c r="F9" s="108"/>
      <c r="G9" s="108"/>
      <c r="H9" s="108"/>
      <c r="I9" s="84"/>
      <c r="J9" s="84"/>
      <c r="K9" s="84"/>
      <c r="L9" s="84"/>
      <c r="M9" s="108"/>
      <c r="N9" s="108"/>
      <c r="O9" s="108"/>
      <c r="P9" s="110"/>
      <c r="Q9" s="112"/>
      <c r="R9" s="112"/>
      <c r="S9" s="260"/>
    </row>
    <row r="10" spans="1:23" s="262" customFormat="1" ht="13.5" customHeight="1">
      <c r="A10" s="80">
        <v>2</v>
      </c>
      <c r="B10" s="523" t="str">
        <f>IF(Регистрация!$D$6&lt;A10," ",CONCATENATE(VLOOKUP(A10,Регистрация!$B$7:$N$39,3,FALSE)," ",VLOOKUP(A10,Регистрация!$B$7:$N$39,4,FALSE)," ","(",VLOOKUP(A10,Регистрация!$B$7:$N$39,11,FALSE),")"))</f>
        <v>Хохлова Элина (WSKF)</v>
      </c>
      <c r="C10" s="524"/>
      <c r="D10" s="524"/>
      <c r="E10" s="525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110"/>
      <c r="Q10" s="113"/>
      <c r="R10" s="113"/>
      <c r="S10" s="260"/>
    </row>
    <row r="11" spans="1:23" s="109" customFormat="1" ht="13.5" customHeight="1">
      <c r="A11" s="99"/>
      <c r="B11" s="522"/>
      <c r="C11" s="522"/>
      <c r="D11" s="99"/>
      <c r="E11" s="116"/>
      <c r="F11" s="108"/>
      <c r="G11" s="108"/>
      <c r="H11" s="108"/>
      <c r="I11" s="105"/>
      <c r="J11" s="108"/>
      <c r="K11" s="108"/>
      <c r="L11" s="105"/>
      <c r="M11" s="108"/>
      <c r="N11" s="108"/>
      <c r="O11" s="108"/>
      <c r="P11" s="254"/>
      <c r="Q11" s="105"/>
      <c r="R11" s="105"/>
      <c r="S11" s="132"/>
    </row>
    <row r="12" spans="1:23" s="261" customFormat="1" ht="13.5" customHeight="1">
      <c r="A12" s="99"/>
      <c r="B12" s="250"/>
      <c r="C12" s="250"/>
      <c r="D12" s="99"/>
      <c r="E12" s="116"/>
      <c r="F12" s="61"/>
      <c r="G12" s="79" t="str">
        <f>IF(F12=0," ",CONCATENATE(VLOOKUP(F12,Регистрация!$B$7:$N$39,3,FALSE)," ",VLOOKUP(F12,Регистрация!$B$7:$N$39,4,FALSE)))</f>
        <v xml:space="preserve"> </v>
      </c>
      <c r="H12" s="108"/>
      <c r="I12" s="108"/>
      <c r="J12" s="108"/>
      <c r="K12" s="108"/>
      <c r="L12" s="108"/>
      <c r="M12" s="108"/>
      <c r="N12" s="108"/>
      <c r="O12" s="105"/>
      <c r="P12" s="108"/>
      <c r="Q12" s="112"/>
      <c r="R12" s="112"/>
      <c r="S12" s="260"/>
    </row>
    <row r="13" spans="1:23" s="109" customFormat="1" ht="13.5" customHeight="1">
      <c r="A13" s="80">
        <v>4</v>
      </c>
      <c r="B13" s="523" t="str">
        <f>IF(Регистрация!$D$6&lt;A13," ",CONCATENATE(VLOOKUP(A13,Регистрация!$B$7:$N$39,3,FALSE)," ",VLOOKUP(A13,Регистрация!$B$7:$N$39,4,FALSE)," ","(",VLOOKUP(A13,Регистрация!$B$7:$N$39,11,FALSE),")"))</f>
        <v>Шайдулина Алина (Политех)</v>
      </c>
      <c r="C13" s="525"/>
      <c r="D13" s="99"/>
      <c r="E13" s="117"/>
      <c r="F13" s="256"/>
      <c r="G13" s="115"/>
      <c r="H13" s="108"/>
      <c r="I13" s="108"/>
      <c r="J13" s="108"/>
      <c r="K13" s="108"/>
      <c r="L13" s="108"/>
      <c r="M13" s="108"/>
      <c r="N13" s="108"/>
      <c r="O13" s="105"/>
      <c r="P13" s="254"/>
      <c r="Q13" s="105"/>
      <c r="R13" s="105"/>
      <c r="S13" s="132"/>
    </row>
    <row r="14" spans="1:23" s="261" customFormat="1" ht="13.5" customHeight="1">
      <c r="A14" s="99"/>
      <c r="B14" s="250"/>
      <c r="C14" s="250"/>
      <c r="D14" s="60"/>
      <c r="E14" s="79" t="str">
        <f>IF(D14=0," ",CONCATENATE(VLOOKUP(D14,Регистрация!$B$7:$N$39,3,FALSE)," ",VLOOKUP(D14,Регистрация!$B$7:$N$39,4,FALSE)))</f>
        <v xml:space="preserve"> </v>
      </c>
      <c r="F14" s="256"/>
      <c r="G14" s="116"/>
      <c r="H14" s="108"/>
      <c r="I14" s="108"/>
      <c r="J14" s="108"/>
      <c r="K14" s="108"/>
      <c r="L14" s="108"/>
      <c r="M14" s="119"/>
      <c r="N14" s="119"/>
      <c r="O14" s="119"/>
      <c r="P14" s="119"/>
      <c r="Q14" s="112"/>
      <c r="R14" s="112"/>
      <c r="S14" s="260"/>
    </row>
    <row r="15" spans="1:23" s="261" customFormat="1" ht="13.5" customHeight="1">
      <c r="A15" s="80">
        <v>6</v>
      </c>
      <c r="B15" s="523" t="str">
        <f>IF(Регистрация!$D$6&lt;A15," ",CONCATENATE(VLOOKUP(A15,Регистрация!$B$7:$N$39,3,FALSE)," ",VLOOKUP(A15,Регистрация!$B$7:$N$39,4,FALSE)," ","(",VLOOKUP(A15,Регистрация!$B$7:$N$39,11,FALSE),")"))</f>
        <v>Павлова Мария (Политех)</v>
      </c>
      <c r="C15" s="525"/>
      <c r="D15" s="256"/>
      <c r="E15" s="100"/>
      <c r="F15" s="256"/>
      <c r="G15" s="116"/>
      <c r="H15" s="108"/>
      <c r="I15" s="96"/>
      <c r="J15" s="96"/>
      <c r="K15" s="96"/>
      <c r="L15" s="96"/>
      <c r="M15" s="108"/>
      <c r="N15" s="108"/>
      <c r="O15" s="108"/>
      <c r="P15" s="133"/>
      <c r="Q15" s="112"/>
      <c r="R15" s="112"/>
      <c r="S15" s="260"/>
      <c r="W15" s="263"/>
    </row>
    <row r="16" spans="1:23" ht="13.5" customHeight="1">
      <c r="A16" s="120"/>
      <c r="B16" s="250"/>
      <c r="C16" s="250"/>
      <c r="D16" s="62"/>
      <c r="E16" s="100"/>
      <c r="F16" s="256"/>
      <c r="G16" s="116"/>
      <c r="H16" s="61"/>
      <c r="I16" s="79" t="str">
        <f>IF(H16=0," ",CONCATENATE(VLOOKUP(H16,Регистрация!$B$7:$N$39,3,FALSE)," ",VLOOKUP(H16,Регистрация!$B$7:$N$39,4,FALSE)))</f>
        <v xml:space="preserve"> </v>
      </c>
      <c r="J16" s="105"/>
      <c r="K16" s="105"/>
      <c r="L16" s="105"/>
      <c r="M16" s="108"/>
      <c r="N16" s="108"/>
      <c r="O16" s="108"/>
      <c r="P16" s="121"/>
      <c r="Q16" s="109"/>
      <c r="R16" s="122"/>
    </row>
    <row r="17" spans="1:18" ht="13.5" customHeight="1">
      <c r="A17" s="126">
        <v>1</v>
      </c>
      <c r="B17" s="523" t="str">
        <f>IF(Регистрация!$D$6&lt;A17," ",CONCATENATE(VLOOKUP(A17,Регистрация!$B$7:$N$39,3,FALSE)," ",VLOOKUP(A17,Регистрация!$B$7:$N$39,4,FALSE)," ","(",VLOOKUP(A17,Регистрация!$B$7:$N$39,11,FALSE),")"))</f>
        <v>Сугралиева Арина (Политех)</v>
      </c>
      <c r="C17" s="525"/>
      <c r="D17" s="256"/>
      <c r="E17" s="100"/>
      <c r="F17" s="256"/>
      <c r="G17" s="116"/>
      <c r="J17" s="123"/>
      <c r="K17" s="123"/>
      <c r="L17" s="123"/>
      <c r="M17" s="108"/>
      <c r="N17" s="108"/>
      <c r="O17" s="105"/>
      <c r="P17" s="254"/>
      <c r="Q17" s="110"/>
      <c r="R17" s="122"/>
    </row>
    <row r="18" spans="1:18" ht="13.5" customHeight="1">
      <c r="A18" s="99"/>
      <c r="B18" s="250"/>
      <c r="C18" s="250"/>
      <c r="D18" s="60"/>
      <c r="E18" s="79" t="str">
        <f>IF(D18=0," ",CONCATENATE(VLOOKUP(D18,Регистрация!$B$7:$N$39,3,FALSE)," ",VLOOKUP(D18,Регистрация!$B$7:$N$39,4,FALSE)))</f>
        <v xml:space="preserve"> </v>
      </c>
      <c r="F18" s="256"/>
      <c r="G18" s="116"/>
      <c r="H18" s="108"/>
      <c r="I18" s="108"/>
      <c r="J18" s="108"/>
      <c r="K18" s="108"/>
      <c r="L18" s="108"/>
      <c r="M18" s="108"/>
      <c r="N18" s="108"/>
      <c r="O18" s="105"/>
      <c r="P18" s="254"/>
      <c r="Q18" s="110"/>
      <c r="R18" s="122"/>
    </row>
    <row r="19" spans="1:18" ht="13.5" customHeight="1">
      <c r="A19" s="126">
        <v>5</v>
      </c>
      <c r="B19" s="523" t="str">
        <f>IF(Регистрация!$D$6&lt;A19," ",CONCATENATE(VLOOKUP(A19,Регистрация!$B$7:$N$39,3,FALSE)," ",VLOOKUP(A19,Регистрация!$B$7:$N$39,4,FALSE)," ","(",VLOOKUP(A19,Регистрация!$B$7:$N$39,11,FALSE),")"))</f>
        <v>Носкова Александра (Политех)</v>
      </c>
      <c r="C19" s="525"/>
      <c r="D19" s="256"/>
      <c r="E19" s="134"/>
      <c r="F19" s="256"/>
      <c r="G19" s="117"/>
      <c r="H19" s="108"/>
      <c r="I19" s="105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3.5" customHeight="1">
      <c r="A20" s="120"/>
      <c r="B20" s="250"/>
      <c r="C20" s="250"/>
      <c r="D20" s="256"/>
      <c r="E20" s="135"/>
      <c r="F20" s="61"/>
      <c r="G20" s="79" t="str">
        <f>IF(F20=0," ",CONCATENATE(VLOOKUP(F20,Регистрация!$B$7:$N$39,3,FALSE)," ",VLOOKUP(F20,Регистрация!$B$7:$N$39,4,FALSE)))</f>
        <v xml:space="preserve"> </v>
      </c>
      <c r="H20" s="108"/>
      <c r="I20" s="105"/>
      <c r="J20" s="108"/>
      <c r="K20" s="108"/>
      <c r="L20" s="105"/>
      <c r="M20" s="108"/>
      <c r="N20" s="108"/>
      <c r="O20" s="108"/>
      <c r="P20" s="254"/>
      <c r="Q20" s="110"/>
      <c r="R20" s="122"/>
    </row>
    <row r="21" spans="1:18" ht="13.5" customHeight="1">
      <c r="A21" s="126">
        <v>3</v>
      </c>
      <c r="B21" s="523" t="str">
        <f>IF(Регистрация!$D$6&lt;A21," ",CONCATENATE(VLOOKUP(A21,Регистрация!$B$7:$N$39,3,FALSE)," ",VLOOKUP(A21,Регистрация!$B$7:$N$39,4,FALSE)," ","(",VLOOKUP(A21,Регистрация!$B$7:$N$39,11,FALSE),")"))</f>
        <v>Паранина Полина (Политех)</v>
      </c>
      <c r="C21" s="525"/>
      <c r="D21" s="256"/>
      <c r="E21" s="136"/>
      <c r="F21" s="105"/>
      <c r="G21" s="111"/>
      <c r="H21" s="108"/>
      <c r="I21" s="125"/>
      <c r="J21" s="125"/>
      <c r="K21" s="125"/>
      <c r="L21" s="125"/>
      <c r="M21" s="108"/>
      <c r="N21" s="108"/>
      <c r="O21" s="105"/>
      <c r="P21" s="254"/>
      <c r="Q21" s="110"/>
      <c r="R21" s="122"/>
    </row>
    <row r="22" spans="1:18" ht="13.5" customHeight="1">
      <c r="A22" s="120"/>
      <c r="B22" s="250"/>
      <c r="C22" s="250"/>
      <c r="D22" s="60"/>
      <c r="E22" s="79" t="str">
        <f>IF(D22=0," ",CONCATENATE(VLOOKUP(D22,Регистрация!$B$7:$N$39,3,FALSE)," ",VLOOKUP(D22,Регистрация!$B$7:$N$39,4,FALSE)))</f>
        <v xml:space="preserve"> </v>
      </c>
      <c r="F22" s="105"/>
      <c r="G22" s="108"/>
      <c r="H22" s="108"/>
      <c r="I22" s="108"/>
      <c r="J22" s="108"/>
      <c r="K22" s="108"/>
      <c r="L22" s="108"/>
      <c r="M22" s="108"/>
      <c r="N22" s="108"/>
      <c r="O22" s="105"/>
      <c r="P22" s="254"/>
      <c r="Q22" s="110"/>
      <c r="R22" s="122"/>
    </row>
    <row r="23" spans="1:18" ht="13.5" customHeight="1">
      <c r="A23" s="126">
        <v>7</v>
      </c>
      <c r="B23" s="523" t="str">
        <f>IF(Регистрация!$D$6&lt;A23," ",CONCATENATE(VLOOKUP(A23,Регистрация!$B$7:$N$39,3,FALSE)," ",VLOOKUP(A23,Регистрация!$B$7:$N$39,4,FALSE)," ","(",VLOOKUP(A23,Регистрация!$B$7:$N$39,11,FALSE),")"))</f>
        <v xml:space="preserve"> </v>
      </c>
      <c r="C23" s="525"/>
      <c r="D23" s="111"/>
      <c r="E23" s="137"/>
      <c r="F23" s="110"/>
      <c r="G23" s="110"/>
      <c r="H23" s="110"/>
      <c r="I23" s="110"/>
      <c r="J23" s="110"/>
      <c r="K23" s="110"/>
      <c r="L23" s="110"/>
      <c r="M23" s="110"/>
      <c r="N23" s="254"/>
      <c r="O23" s="254"/>
      <c r="P23" s="254"/>
      <c r="Q23" s="110"/>
      <c r="R23" s="122"/>
    </row>
    <row r="24" spans="1:18" ht="13.5" customHeight="1">
      <c r="A24" s="132"/>
      <c r="B24" s="132"/>
      <c r="F24" s="538" t="s">
        <v>13</v>
      </c>
      <c r="G24" s="538"/>
      <c r="H24" s="538"/>
      <c r="I24" s="538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7.5" customHeight="1">
      <c r="A25" s="132"/>
      <c r="B25" s="132"/>
      <c r="C25" s="132"/>
      <c r="D25" s="110"/>
      <c r="E25" s="110"/>
      <c r="F25" s="254"/>
      <c r="G25" s="254"/>
      <c r="H25" s="254"/>
      <c r="I25" s="254"/>
      <c r="J25" s="254"/>
      <c r="K25" s="127"/>
      <c r="L25" s="127"/>
      <c r="M25" s="254"/>
      <c r="N25" s="254"/>
      <c r="O25" s="254"/>
      <c r="P25" s="254"/>
      <c r="Q25" s="110"/>
      <c r="R25" s="122"/>
    </row>
    <row r="26" spans="1:18" ht="13.5" customHeight="1">
      <c r="D26" s="122"/>
      <c r="E26" s="128"/>
      <c r="F26" s="60">
        <f>IF(F12=0,0,IF(A10=F12,D14,A10))</f>
        <v>0</v>
      </c>
      <c r="G26" s="79" t="str">
        <f>IF(F26=0," ",CONCATENATE(VLOOKUP(F26,Регистрация!$B$7:$N$39,3,FALSE)," ",VLOOKUP(F26,Регистрация!$B$7:$N$39,4,FALSE)))</f>
        <v xml:space="preserve"> </v>
      </c>
      <c r="H26" s="108"/>
      <c r="I26" s="108"/>
      <c r="J26" s="129"/>
      <c r="K26" s="129"/>
      <c r="L26" s="129"/>
      <c r="M26" s="129"/>
      <c r="N26" s="129"/>
      <c r="O26" s="129"/>
      <c r="P26" s="129"/>
      <c r="Q26" s="122"/>
      <c r="R26" s="122"/>
    </row>
    <row r="27" spans="1:18" ht="13.5" customHeight="1">
      <c r="F27" s="256"/>
      <c r="G27" s="116"/>
      <c r="H27" s="61"/>
      <c r="I27" s="79" t="str">
        <f>IF(H27=0," ",CONCATENATE(VLOOKUP(H27,Регистрация!$B$7:$N$39,3,FALSE)," ",VLOOKUP(H27,Регистрация!$B$7:$N$39,4,FALSE)))</f>
        <v xml:space="preserve"> </v>
      </c>
    </row>
    <row r="28" spans="1:18" ht="13.5" customHeight="1">
      <c r="F28" s="60">
        <f>IF(F20=0,0,IF(D18=F20,D22,D18))</f>
        <v>0</v>
      </c>
      <c r="G28" s="79" t="str">
        <f>IF(F28=0," ",CONCATENATE(VLOOKUP(F28,Регистрация!$B$7:$N$39,3,FALSE)," ",VLOOKUP(F28,Регистрация!$B$7:$N$39,4,FALSE)))</f>
        <v xml:space="preserve"> </v>
      </c>
      <c r="H28" s="108"/>
      <c r="I28" s="105"/>
    </row>
    <row r="29" spans="1:18" ht="7.5" customHeight="1">
      <c r="F29" s="99"/>
      <c r="G29" s="111"/>
      <c r="H29" s="108"/>
      <c r="I29" s="105"/>
    </row>
    <row r="30" spans="1:18" ht="17.25" customHeight="1">
      <c r="B30" s="526" t="s">
        <v>16</v>
      </c>
      <c r="C30" s="526"/>
      <c r="D30" s="526"/>
      <c r="E30" s="526"/>
    </row>
    <row r="31" spans="1:18" ht="13.5" customHeight="1">
      <c r="A31" s="81"/>
      <c r="B31" s="130" t="s">
        <v>1</v>
      </c>
      <c r="C31" s="529" t="s">
        <v>17</v>
      </c>
      <c r="D31" s="530"/>
      <c r="E31" s="531"/>
    </row>
    <row r="32" spans="1:18" ht="13.5" customHeight="1">
      <c r="A32" s="64">
        <f>H16</f>
        <v>0</v>
      </c>
      <c r="B32" s="82">
        <v>1</v>
      </c>
      <c r="C32" s="532" t="str">
        <f>IF(A32=0," ",CONCATENATE(VLOOKUP(A32,Регистрация!$B$7:$N$39,3,FALSE)," ",VLOOKUP(A32,Регистрация!$B$7:$N$39,4,FALSE)," ",VLOOKUP(A32,Регистрация!$B$7:$N$39,5,FALSE)," ","(",VLOOKUP(A32,Регистрация!$B$7:$N$39,11,FALSE),")"))</f>
        <v xml:space="preserve"> </v>
      </c>
      <c r="D32" s="532"/>
      <c r="E32" s="532"/>
    </row>
    <row r="33" spans="1:8" ht="13.5" customHeight="1">
      <c r="A33" s="64">
        <f>IF(H16=0,0,IF(H16=F12,F20,F12))</f>
        <v>0</v>
      </c>
      <c r="B33" s="82">
        <v>2</v>
      </c>
      <c r="C33" s="532" t="str">
        <f>IF(A33=0," ",CONCATENATE(VLOOKUP(A33,Регистрация!$B$7:$N$39,3,FALSE)," ",VLOOKUP(A33,Регистрация!$B$7:$N$39,4,FALSE)," ",VLOOKUP(A33,Регистрация!$B$7:$N$39,5,FALSE)," ","(",VLOOKUP(A33,Регистрация!$B$7:$N$39,11,FALSE),")"))</f>
        <v xml:space="preserve"> </v>
      </c>
      <c r="D33" s="532"/>
      <c r="E33" s="532"/>
    </row>
    <row r="34" spans="1:8" ht="13.5" customHeight="1">
      <c r="A34" s="64">
        <f>H27</f>
        <v>0</v>
      </c>
      <c r="B34" s="82">
        <v>3</v>
      </c>
      <c r="C34" s="532" t="str">
        <f>IF(A34=0," ",CONCATENATE(VLOOKUP(A34,Регистрация!$B$7:$N$39,3,FALSE)," ",VLOOKUP(A34,Регистрация!$B$7:$N$39,4,FALSE)," ",VLOOKUP(A34,Регистрация!$B$7:$N$39,5,FALSE)," ","(",VLOOKUP(A34,Регистрация!$B$7:$N$39,11,FALSE),")"))</f>
        <v xml:space="preserve"> </v>
      </c>
      <c r="D34" s="532"/>
      <c r="E34" s="532"/>
    </row>
    <row r="35" spans="1:8" ht="13.5" customHeight="1">
      <c r="A35" s="64">
        <f>IF(H27=0,0,IF(H27=F26,F28,F26))</f>
        <v>0</v>
      </c>
      <c r="B35" s="82">
        <v>4</v>
      </c>
      <c r="C35" s="532" t="str">
        <f>IF(A35=0," ",CONCATENATE(VLOOKUP(A35,Регистрация!$B$7:$N$39,3,FALSE)," ",VLOOKUP(A35,Регистрация!$B$7:$N$39,4,FALSE)," ",VLOOKUP(A35,Регистрация!$B$7:$N$39,5,FALSE)," ","(",VLOOKUP(A35,Регистрация!$B$7:$N$39,11,FALSE),")"))</f>
        <v xml:space="preserve"> </v>
      </c>
      <c r="D35" s="532"/>
      <c r="E35" s="532"/>
    </row>
    <row r="36" spans="1:8" ht="15.75" customHeight="1"/>
    <row r="37" spans="1:8" s="251" customFormat="1" ht="15.75" customHeight="1">
      <c r="A37" s="527" t="s">
        <v>14</v>
      </c>
      <c r="B37" s="527"/>
      <c r="C37" s="527"/>
      <c r="D37" s="131"/>
      <c r="E37" s="131"/>
      <c r="F37" s="131"/>
      <c r="H37" s="251" t="str">
        <f>Регистрация!N73</f>
        <v>Цыльев В.А. С1К</v>
      </c>
    </row>
    <row r="38" spans="1:8" s="251" customFormat="1" ht="16.5" customHeight="1"/>
    <row r="39" spans="1:8" s="251" customFormat="1" ht="15.75" customHeight="1">
      <c r="A39" s="527" t="s">
        <v>15</v>
      </c>
      <c r="B39" s="527"/>
      <c r="C39" s="527"/>
      <c r="D39" s="131"/>
      <c r="E39" s="131"/>
      <c r="F39" s="131"/>
      <c r="H39" s="251" t="str">
        <f>Регистрация!N74</f>
        <v>Орлова Е.С 3 К</v>
      </c>
    </row>
  </sheetData>
  <mergeCells count="24">
    <mergeCell ref="A39:C39"/>
    <mergeCell ref="B19:C19"/>
    <mergeCell ref="B21:C21"/>
    <mergeCell ref="B23:C23"/>
    <mergeCell ref="F24:I24"/>
    <mergeCell ref="B30:E30"/>
    <mergeCell ref="C31:E31"/>
    <mergeCell ref="C32:E32"/>
    <mergeCell ref="C33:E33"/>
    <mergeCell ref="C34:E34"/>
    <mergeCell ref="C35:E35"/>
    <mergeCell ref="A37:C37"/>
    <mergeCell ref="J5:L5"/>
    <mergeCell ref="A7:I7"/>
    <mergeCell ref="B17:C17"/>
    <mergeCell ref="A1:I1"/>
    <mergeCell ref="A3:I3"/>
    <mergeCell ref="A5:C5"/>
    <mergeCell ref="D5:G5"/>
    <mergeCell ref="B9:C9"/>
    <mergeCell ref="B10:E10"/>
    <mergeCell ref="B11:C11"/>
    <mergeCell ref="B13:C13"/>
    <mergeCell ref="B15:C15"/>
  </mergeCells>
  <pageMargins left="0.7" right="0.7" top="0.27" bottom="0.28000000000000003" header="0.11" footer="0.15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W40"/>
  <sheetViews>
    <sheetView showGridLines="0" showZeros="0" topLeftCell="A7" workbookViewId="0">
      <selection activeCell="L57" sqref="L57"/>
    </sheetView>
  </sheetViews>
  <sheetFormatPr defaultColWidth="9.1796875" defaultRowHeight="11.15" customHeight="1"/>
  <cols>
    <col min="1" max="1" width="1.81640625" style="104" bestFit="1" customWidth="1"/>
    <col min="2" max="2" width="5.7265625" style="104" bestFit="1" customWidth="1"/>
    <col min="3" max="3" width="33.81640625" style="104" customWidth="1"/>
    <col min="4" max="4" width="1.81640625" style="104" bestFit="1" customWidth="1"/>
    <col min="5" max="5" width="20.54296875" style="104" customWidth="1"/>
    <col min="6" max="6" width="1.81640625" style="104" bestFit="1" customWidth="1"/>
    <col min="7" max="7" width="20.54296875" style="104" customWidth="1"/>
    <col min="8" max="8" width="1.81640625" style="104" bestFit="1" customWidth="1"/>
    <col min="9" max="9" width="20.54296875" style="104" customWidth="1"/>
    <col min="10" max="24" width="3.453125" style="104" customWidth="1"/>
    <col min="25" max="16384" width="9.1796875" style="104"/>
  </cols>
  <sheetData>
    <row r="1" spans="1:23" ht="14">
      <c r="A1" s="534" t="str">
        <f>Регистрация!A1</f>
        <v xml:space="preserve"> Межмуниципальные соревнования по всестилевому каратэ "Первый старт" 27 сентября 2025 г.</v>
      </c>
      <c r="B1" s="534"/>
      <c r="C1" s="534"/>
      <c r="D1" s="534"/>
      <c r="E1" s="534"/>
      <c r="F1" s="534"/>
      <c r="G1" s="534"/>
      <c r="H1" s="534"/>
      <c r="I1" s="534"/>
      <c r="J1" s="76"/>
      <c r="K1" s="76"/>
      <c r="L1" s="76"/>
      <c r="M1" s="76"/>
      <c r="N1" s="76"/>
      <c r="O1" s="76"/>
      <c r="P1" s="76"/>
      <c r="Q1" s="76"/>
      <c r="R1" s="76"/>
    </row>
    <row r="2" spans="1:23" ht="14">
      <c r="A2" s="139"/>
      <c r="B2" s="139"/>
      <c r="C2" s="139"/>
      <c r="D2" s="139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4">
      <c r="A3" s="535" t="str">
        <f>Регистрация!A2</f>
        <v>Вид спорта: ВСЕСТИЛЕВОЕ КАРАТЭ (номер-код вида спорта - 0900001411Я)</v>
      </c>
      <c r="B3" s="535"/>
      <c r="C3" s="535"/>
      <c r="D3" s="535"/>
      <c r="E3" s="535"/>
      <c r="F3" s="535"/>
      <c r="G3" s="535"/>
      <c r="H3" s="535"/>
      <c r="I3" s="535"/>
      <c r="J3" s="76"/>
      <c r="K3" s="76"/>
      <c r="L3" s="76"/>
      <c r="M3" s="76"/>
      <c r="N3" s="76"/>
      <c r="O3" s="76"/>
      <c r="P3" s="76"/>
      <c r="Q3" s="76"/>
      <c r="R3" s="76"/>
    </row>
    <row r="4" spans="1:23" ht="13">
      <c r="A4" s="77"/>
      <c r="B4" s="77"/>
      <c r="C4" s="77"/>
      <c r="D4" s="77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">
      <c r="A5" s="537" t="str">
        <f>Регистрация!A3</f>
        <v>Женщины 18 +  ОК-двоеборье</v>
      </c>
      <c r="B5" s="537"/>
      <c r="C5" s="537"/>
      <c r="D5" s="537" t="str">
        <f>Регистрация!G3</f>
        <v>г. Санкт-Петербург</v>
      </c>
      <c r="E5" s="537"/>
      <c r="F5" s="537"/>
      <c r="G5" s="537"/>
      <c r="H5" s="255"/>
      <c r="I5" s="143" t="str">
        <f>Регистрация!L3</f>
        <v>27 сентября 2025</v>
      </c>
      <c r="J5" s="533">
        <f>Регистрация!N3</f>
        <v>0</v>
      </c>
      <c r="K5" s="533"/>
      <c r="L5" s="533"/>
      <c r="M5" s="77"/>
      <c r="N5" s="77"/>
      <c r="O5" s="77"/>
      <c r="P5" s="77"/>
      <c r="Q5" s="144"/>
      <c r="R5" s="144"/>
    </row>
    <row r="6" spans="1:23" ht="13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">
      <c r="A7" s="537" t="s">
        <v>18</v>
      </c>
      <c r="B7" s="537"/>
      <c r="C7" s="537"/>
      <c r="D7" s="537"/>
      <c r="E7" s="537"/>
      <c r="F7" s="537"/>
      <c r="G7" s="537"/>
      <c r="H7" s="537"/>
      <c r="I7" s="537"/>
      <c r="J7" s="77"/>
      <c r="K7" s="77"/>
      <c r="L7" s="77"/>
      <c r="M7" s="77"/>
      <c r="N7" s="77"/>
      <c r="O7" s="77"/>
      <c r="P7" s="77"/>
      <c r="Q7" s="144"/>
      <c r="R7" s="144"/>
    </row>
    <row r="8" spans="1:23" s="109" customFormat="1" ht="15.5">
      <c r="A8" s="144"/>
      <c r="B8" s="144"/>
      <c r="C8" s="105"/>
      <c r="D8" s="106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23" s="261" customFormat="1" ht="14">
      <c r="A9" s="80">
        <v>1</v>
      </c>
      <c r="B9" s="523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25"/>
      <c r="D9" s="111"/>
      <c r="E9" s="111"/>
      <c r="F9" s="108"/>
      <c r="G9" s="108"/>
      <c r="H9" s="108"/>
      <c r="I9" s="84"/>
      <c r="J9" s="84"/>
      <c r="K9" s="84"/>
      <c r="L9" s="84"/>
      <c r="M9" s="108"/>
      <c r="N9" s="108"/>
      <c r="O9" s="108"/>
      <c r="P9" s="110"/>
      <c r="Q9" s="112"/>
      <c r="R9" s="112"/>
      <c r="S9" s="260"/>
    </row>
    <row r="10" spans="1:23" s="262" customFormat="1" ht="15.5">
      <c r="A10" s="99"/>
      <c r="B10" s="250"/>
      <c r="C10" s="250"/>
      <c r="D10" s="60"/>
      <c r="E10" s="79" t="str">
        <f>IF(D10=0," ",CONCATENATE(VLOOKUP(D10,Регистрация!$B$7:$N$39,3,FALSE)," ",VLOOKUP(D10,Регистрация!$B$7:$N$39,4,FALSE)))</f>
        <v xml:space="preserve"> </v>
      </c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110"/>
      <c r="Q10" s="113"/>
      <c r="R10" s="113"/>
      <c r="S10" s="260"/>
    </row>
    <row r="11" spans="1:23" s="109" customFormat="1" ht="15.5">
      <c r="A11" s="80">
        <v>5</v>
      </c>
      <c r="B11" s="523" t="str">
        <f>IF(Регистрация!$D$6&lt;A11," ",CONCATENATE(VLOOKUP(A11,Регистрация!$B$7:$N$39,3,FALSE)," ",VLOOKUP(A11,Регистрация!$B$7:$N$39,4,FALSE)," ","(",VLOOKUP(A11,Регистрация!$B$7:$N$39,11,FALSE),")"))</f>
        <v>Носкова Александра (Политех)</v>
      </c>
      <c r="C11" s="525"/>
      <c r="D11" s="256"/>
      <c r="E11" s="134"/>
      <c r="F11" s="108"/>
      <c r="G11" s="108"/>
      <c r="H11" s="108"/>
      <c r="I11" s="105"/>
      <c r="J11" s="108"/>
      <c r="K11" s="108"/>
      <c r="L11" s="105"/>
      <c r="M11" s="108"/>
      <c r="N11" s="108"/>
      <c r="O11" s="108"/>
      <c r="P11" s="254"/>
      <c r="Q11" s="105"/>
      <c r="R11" s="105"/>
      <c r="S11" s="132"/>
    </row>
    <row r="12" spans="1:23" s="261" customFormat="1" ht="14">
      <c r="A12" s="99"/>
      <c r="B12" s="250"/>
      <c r="C12" s="250"/>
      <c r="D12" s="256"/>
      <c r="E12" s="135"/>
      <c r="F12" s="61"/>
      <c r="G12" s="79" t="str">
        <f>IF(F12=0," ",CONCATENATE(VLOOKUP(F12,Регистрация!$B$7:$N$39,3,FALSE)," ",VLOOKUP(F12,Регистрация!$B$7:$N$39,4,FALSE)))</f>
        <v xml:space="preserve"> </v>
      </c>
      <c r="H12" s="108"/>
      <c r="I12" s="108"/>
      <c r="J12" s="108"/>
      <c r="K12" s="108"/>
      <c r="L12" s="108"/>
      <c r="M12" s="108"/>
      <c r="N12" s="108"/>
      <c r="O12" s="105"/>
      <c r="P12" s="108"/>
      <c r="Q12" s="112"/>
      <c r="R12" s="112"/>
      <c r="S12" s="260"/>
    </row>
    <row r="13" spans="1:23" s="109" customFormat="1" ht="15.5">
      <c r="A13" s="80">
        <v>3</v>
      </c>
      <c r="B13" s="523" t="str">
        <f>IF(Регистрация!$D$6&lt;A13," ",CONCATENATE(VLOOKUP(A13,Регистрация!$B$7:$N$39,3,FALSE)," ",VLOOKUP(A13,Регистрация!$B$7:$N$39,4,FALSE)," ","(",VLOOKUP(A13,Регистрация!$B$7:$N$39,11,FALSE),")"))</f>
        <v>Паранина Полина (Политех)</v>
      </c>
      <c r="C13" s="525"/>
      <c r="D13" s="256"/>
      <c r="E13" s="136"/>
      <c r="F13" s="256"/>
      <c r="G13" s="115"/>
      <c r="H13" s="108"/>
      <c r="I13" s="108"/>
      <c r="J13" s="108"/>
      <c r="K13" s="108"/>
      <c r="L13" s="108"/>
      <c r="M13" s="108"/>
      <c r="N13" s="108"/>
      <c r="O13" s="105"/>
      <c r="P13" s="254"/>
      <c r="Q13" s="105"/>
      <c r="R13" s="105"/>
      <c r="S13" s="132"/>
    </row>
    <row r="14" spans="1:23" s="261" customFormat="1" ht="14">
      <c r="A14" s="99"/>
      <c r="B14" s="250"/>
      <c r="C14" s="250"/>
      <c r="D14" s="60"/>
      <c r="E14" s="79" t="str">
        <f>IF(D14=0," ",CONCATENATE(VLOOKUP(D14,Регистрация!$B$7:$N$39,3,FALSE)," ",VLOOKUP(D14,Регистрация!$B$7:$N$39,4,FALSE)))</f>
        <v xml:space="preserve"> </v>
      </c>
      <c r="F14" s="256"/>
      <c r="G14" s="116"/>
      <c r="H14" s="108"/>
      <c r="I14" s="108"/>
      <c r="J14" s="108"/>
      <c r="K14" s="108"/>
      <c r="L14" s="108"/>
      <c r="M14" s="119"/>
      <c r="N14" s="119"/>
      <c r="O14" s="119"/>
      <c r="P14" s="119"/>
      <c r="Q14" s="112"/>
      <c r="R14" s="112"/>
      <c r="S14" s="260"/>
    </row>
    <row r="15" spans="1:23" s="261" customFormat="1" ht="14">
      <c r="A15" s="80">
        <v>7</v>
      </c>
      <c r="B15" s="523" t="str">
        <f>IF(Регистрация!$D$6&lt;A15," ",CONCATENATE(VLOOKUP(A15,Регистрация!$B$7:$N$39,3,FALSE)," ",VLOOKUP(A15,Регистрация!$B$7:$N$39,4,FALSE)," ","(",VLOOKUP(A15,Регистрация!$B$7:$N$39,11,FALSE),")"))</f>
        <v xml:space="preserve"> </v>
      </c>
      <c r="C15" s="525"/>
      <c r="D15" s="256"/>
      <c r="E15" s="100"/>
      <c r="F15" s="256"/>
      <c r="G15" s="116"/>
      <c r="H15" s="108"/>
      <c r="I15" s="96"/>
      <c r="J15" s="96"/>
      <c r="K15" s="96"/>
      <c r="L15" s="96"/>
      <c r="M15" s="108"/>
      <c r="N15" s="108"/>
      <c r="O15" s="108"/>
      <c r="P15" s="133"/>
      <c r="Q15" s="112"/>
      <c r="R15" s="112"/>
      <c r="S15" s="260"/>
      <c r="W15" s="263"/>
    </row>
    <row r="16" spans="1:23" ht="15.5">
      <c r="A16" s="120"/>
      <c r="B16" s="250"/>
      <c r="C16" s="250"/>
      <c r="D16" s="62"/>
      <c r="E16" s="100"/>
      <c r="F16" s="256"/>
      <c r="G16" s="116"/>
      <c r="H16" s="61"/>
      <c r="I16" s="79" t="str">
        <f>IF(H16=0," ",CONCATENATE(VLOOKUP(H16,Регистрация!$B$7:$N$39,3,FALSE)," ",VLOOKUP(H16,Регистрация!$B$7:$N$39,4,FALSE)))</f>
        <v xml:space="preserve"> </v>
      </c>
      <c r="J16" s="105"/>
      <c r="K16" s="105"/>
      <c r="L16" s="105"/>
      <c r="M16" s="108"/>
      <c r="N16" s="108"/>
      <c r="O16" s="108"/>
      <c r="P16" s="121"/>
      <c r="Q16" s="109"/>
      <c r="R16" s="122"/>
    </row>
    <row r="17" spans="1:18" ht="14">
      <c r="A17" s="126">
        <v>2</v>
      </c>
      <c r="B17" s="523" t="str">
        <f>IF(Регистрация!$D$6&lt;A17," ",CONCATENATE(VLOOKUP(A17,Регистрация!$B$7:$N$39,3,FALSE)," ",VLOOKUP(A17,Регистрация!$B$7:$N$39,4,FALSE)," ","(",VLOOKUP(A17,Регистрация!$B$7:$N$39,11,FALSE),")"))</f>
        <v>Хохлова Элина (WSKF)</v>
      </c>
      <c r="C17" s="525"/>
      <c r="D17" s="256"/>
      <c r="E17" s="100"/>
      <c r="F17" s="256"/>
      <c r="G17" s="116"/>
      <c r="J17" s="123"/>
      <c r="K17" s="123"/>
      <c r="L17" s="123"/>
      <c r="M17" s="108"/>
      <c r="N17" s="108"/>
      <c r="O17" s="105"/>
      <c r="P17" s="254"/>
      <c r="Q17" s="110"/>
      <c r="R17" s="122"/>
    </row>
    <row r="18" spans="1:18" ht="14">
      <c r="A18" s="99"/>
      <c r="B18" s="250"/>
      <c r="C18" s="250"/>
      <c r="D18" s="60"/>
      <c r="E18" s="79" t="str">
        <f>IF(D18=0," ",CONCATENATE(VLOOKUP(D18,Регистрация!$B$7:$N$39,3,FALSE)," ",VLOOKUP(D18,Регистрация!$B$7:$N$39,4,FALSE)))</f>
        <v xml:space="preserve"> </v>
      </c>
      <c r="F18" s="256"/>
      <c r="G18" s="116"/>
      <c r="H18" s="108"/>
      <c r="I18" s="108"/>
      <c r="J18" s="108"/>
      <c r="K18" s="108"/>
      <c r="L18" s="108"/>
      <c r="M18" s="108"/>
      <c r="N18" s="108"/>
      <c r="O18" s="105"/>
      <c r="P18" s="254"/>
      <c r="Q18" s="110"/>
      <c r="R18" s="122"/>
    </row>
    <row r="19" spans="1:18" ht="14">
      <c r="A19" s="126">
        <v>6</v>
      </c>
      <c r="B19" s="523" t="str">
        <f>IF(Регистрация!$D$6&lt;A19," ",CONCATENATE(VLOOKUP(A19,Регистрация!$B$7:$N$39,3,FALSE)," ",VLOOKUP(A19,Регистрация!$B$7:$N$39,4,FALSE)," ","(",VLOOKUP(A19,Регистрация!$B$7:$N$39,11,FALSE),")"))</f>
        <v>Павлова Мария (Политех)</v>
      </c>
      <c r="C19" s="525"/>
      <c r="D19" s="256"/>
      <c r="E19" s="134"/>
      <c r="F19" s="256"/>
      <c r="G19" s="117"/>
      <c r="H19" s="108"/>
      <c r="I19" s="105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4">
      <c r="A20" s="120"/>
      <c r="B20" s="250"/>
      <c r="C20" s="250"/>
      <c r="D20" s="256"/>
      <c r="E20" s="135"/>
      <c r="F20" s="61"/>
      <c r="G20" s="79" t="str">
        <f>IF(F20=0," ",CONCATENATE(VLOOKUP(F20,Регистрация!$B$7:$N$39,3,FALSE)," ",VLOOKUP(F20,Регистрация!$B$7:$N$39,4,FALSE)))</f>
        <v xml:space="preserve"> </v>
      </c>
      <c r="H20" s="108"/>
      <c r="I20" s="105"/>
      <c r="J20" s="108"/>
      <c r="K20" s="108"/>
      <c r="L20" s="105"/>
      <c r="M20" s="108"/>
      <c r="N20" s="108"/>
      <c r="O20" s="108"/>
      <c r="P20" s="254"/>
      <c r="Q20" s="110"/>
      <c r="R20" s="122"/>
    </row>
    <row r="21" spans="1:18" ht="14">
      <c r="A21" s="126">
        <v>4</v>
      </c>
      <c r="B21" s="523" t="str">
        <f>IF(Регистрация!$D$6&lt;A21," ",CONCATENATE(VLOOKUP(A21,Регистрация!$B$7:$N$39,3,FALSE)," ",VLOOKUP(A21,Регистрация!$B$7:$N$39,4,FALSE)," ","(",VLOOKUP(A21,Регистрация!$B$7:$N$39,11,FALSE),")"))</f>
        <v>Шайдулина Алина (Политех)</v>
      </c>
      <c r="C21" s="525"/>
      <c r="D21" s="256"/>
      <c r="E21" s="136"/>
      <c r="F21" s="105"/>
      <c r="G21" s="111"/>
      <c r="H21" s="108"/>
      <c r="I21" s="125"/>
      <c r="J21" s="125"/>
      <c r="K21" s="125"/>
      <c r="L21" s="125"/>
      <c r="M21" s="108"/>
      <c r="N21" s="108"/>
      <c r="O21" s="105"/>
      <c r="P21" s="254"/>
      <c r="Q21" s="110"/>
      <c r="R21" s="122"/>
    </row>
    <row r="22" spans="1:18" ht="14">
      <c r="A22" s="120"/>
      <c r="B22" s="250"/>
      <c r="C22" s="250"/>
      <c r="D22" s="60"/>
      <c r="E22" s="79" t="str">
        <f>IF(D22=0," ",CONCATENATE(VLOOKUP(D22,Регистрация!$B$7:$N$39,3,FALSE)," ",VLOOKUP(D22,Регистрация!$B$7:$N$39,4,FALSE)))</f>
        <v xml:space="preserve"> </v>
      </c>
      <c r="F22" s="105"/>
      <c r="G22" s="108"/>
      <c r="H22" s="108"/>
      <c r="I22" s="108"/>
      <c r="J22" s="108"/>
      <c r="K22" s="108"/>
      <c r="L22" s="108"/>
      <c r="M22" s="108"/>
      <c r="N22" s="108"/>
      <c r="O22" s="105"/>
      <c r="P22" s="254"/>
      <c r="Q22" s="110"/>
      <c r="R22" s="122"/>
    </row>
    <row r="23" spans="1:18" ht="14">
      <c r="A23" s="126">
        <v>8</v>
      </c>
      <c r="B23" s="523" t="str">
        <f>IF(Регистрация!$D$6&lt;A23," ",CONCATENATE(VLOOKUP(A23,Регистрация!$B$7:$N$39,3,FALSE)," ",VLOOKUP(A23,Регистрация!$B$7:$N$39,4,FALSE)," ","(",VLOOKUP(A23,Регистрация!$B$7:$N$39,11,FALSE),")"))</f>
        <v xml:space="preserve"> </v>
      </c>
      <c r="C23" s="525"/>
      <c r="D23" s="111"/>
      <c r="E23" s="111"/>
      <c r="F23" s="110"/>
      <c r="G23" s="110"/>
      <c r="H23" s="110"/>
      <c r="I23" s="110"/>
      <c r="J23" s="110"/>
      <c r="K23" s="110"/>
      <c r="L23" s="110"/>
      <c r="M23" s="110"/>
      <c r="N23" s="254"/>
      <c r="O23" s="254"/>
      <c r="P23" s="254"/>
      <c r="Q23" s="110"/>
      <c r="R23" s="122"/>
    </row>
    <row r="24" spans="1:18" ht="13">
      <c r="A24" s="132"/>
      <c r="B24" s="132"/>
      <c r="F24" s="538" t="s">
        <v>13</v>
      </c>
      <c r="G24" s="538"/>
      <c r="H24" s="538"/>
      <c r="I24" s="538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4">
      <c r="A25" s="132"/>
      <c r="B25" s="132"/>
      <c r="C25" s="132"/>
      <c r="D25" s="110"/>
      <c r="E25" s="110"/>
      <c r="F25" s="254"/>
      <c r="G25" s="254"/>
      <c r="H25" s="254"/>
      <c r="I25" s="254"/>
      <c r="J25" s="254"/>
      <c r="K25" s="127"/>
      <c r="L25" s="127"/>
      <c r="M25" s="254"/>
      <c r="N25" s="254"/>
      <c r="O25" s="254"/>
      <c r="P25" s="254"/>
      <c r="Q25" s="110"/>
      <c r="R25" s="122"/>
    </row>
    <row r="26" spans="1:18" ht="14">
      <c r="D26" s="122"/>
      <c r="E26" s="128"/>
      <c r="F26" s="60">
        <f>IF(F12=0,0,IF(D10=F12,D14,D10))</f>
        <v>0</v>
      </c>
      <c r="G26" s="79" t="str">
        <f>IF(F26=0," ",CONCATENATE(VLOOKUP(F26,Регистрация!$B$7:$N$39,3,FALSE)," ",VLOOKUP(F26,Регистрация!$B$7:$N$39,4,FALSE)))</f>
        <v xml:space="preserve"> </v>
      </c>
      <c r="H26" s="108"/>
      <c r="I26" s="108"/>
      <c r="J26" s="129"/>
      <c r="K26" s="129"/>
      <c r="L26" s="129"/>
      <c r="M26" s="129"/>
      <c r="N26" s="129"/>
      <c r="O26" s="129"/>
      <c r="P26" s="129"/>
      <c r="Q26" s="122"/>
      <c r="R26" s="122"/>
    </row>
    <row r="27" spans="1:18" ht="13">
      <c r="F27" s="256"/>
      <c r="G27" s="116"/>
      <c r="H27" s="61"/>
      <c r="I27" s="79" t="str">
        <f>IF(H27=0," ",CONCATENATE(VLOOKUP(H27,Регистрация!$B$7:$N$39,3,FALSE)," ",VLOOKUP(H27,Регистрация!$B$7:$N$39,4,FALSE)))</f>
        <v xml:space="preserve"> </v>
      </c>
    </row>
    <row r="28" spans="1:18" ht="14">
      <c r="F28" s="60">
        <f>IF(F20=0,0,IF(D18=F20,D22,D18))</f>
        <v>0</v>
      </c>
      <c r="G28" s="79" t="str">
        <f>IF(F28=0," ",CONCATENATE(VLOOKUP(F28,Регистрация!$B$7:$N$39,3,FALSE)," ",VLOOKUP(F28,Регистрация!$B$7:$N$39,4,FALSE)))</f>
        <v xml:space="preserve"> </v>
      </c>
      <c r="H28" s="108"/>
      <c r="I28" s="105"/>
    </row>
    <row r="29" spans="1:18" ht="14">
      <c r="F29" s="99"/>
      <c r="G29" s="111"/>
      <c r="H29" s="108"/>
      <c r="I29" s="105"/>
    </row>
    <row r="30" spans="1:18" ht="13">
      <c r="B30" s="526" t="s">
        <v>16</v>
      </c>
      <c r="C30" s="526"/>
      <c r="D30" s="526"/>
      <c r="E30" s="526"/>
    </row>
    <row r="31" spans="1:18" ht="13">
      <c r="A31" s="81"/>
      <c r="B31" s="130" t="s">
        <v>1</v>
      </c>
      <c r="C31" s="529" t="s">
        <v>17</v>
      </c>
      <c r="D31" s="530"/>
      <c r="E31" s="531"/>
    </row>
    <row r="32" spans="1:18" ht="14">
      <c r="A32" s="64">
        <f>H16</f>
        <v>0</v>
      </c>
      <c r="B32" s="82">
        <v>1</v>
      </c>
      <c r="C32" s="532" t="str">
        <f>IF(A32=0," ",CONCATENATE(VLOOKUP(A32,Регистрация!$B$7:$N$39,3,FALSE)," ",VLOOKUP(A32,Регистрация!$B$7:$N$39,4,FALSE)," ",VLOOKUP(A32,Регистрация!$B$7:$N$39,5,FALSE)," ","(",VLOOKUP(A32,Регистрация!$B$7:$N$39,11,FALSE),")"))</f>
        <v xml:space="preserve"> </v>
      </c>
      <c r="D32" s="532"/>
      <c r="E32" s="532"/>
    </row>
    <row r="33" spans="1:8" ht="14">
      <c r="A33" s="64">
        <f>IF(H16=0,0,IF(H16=F12,F20,F12))</f>
        <v>0</v>
      </c>
      <c r="B33" s="82">
        <v>2</v>
      </c>
      <c r="C33" s="532" t="str">
        <f>IF(A33=0," ",CONCATENATE(VLOOKUP(A33,Регистрация!$B$7:$N$39,3,FALSE)," ",VLOOKUP(A33,Регистрация!$B$7:$N$39,4,FALSE)," ",VLOOKUP(A33,Регистрация!$B$7:$N$39,5,FALSE)," ","(",VLOOKUP(A33,Регистрация!$B$7:$N$39,11,FALSE),")"))</f>
        <v xml:space="preserve"> </v>
      </c>
      <c r="D33" s="532"/>
      <c r="E33" s="532"/>
    </row>
    <row r="34" spans="1:8" ht="14">
      <c r="A34" s="64">
        <f>H27</f>
        <v>0</v>
      </c>
      <c r="B34" s="82">
        <v>3</v>
      </c>
      <c r="C34" s="532" t="str">
        <f>IF(A34=0," ",CONCATENATE(VLOOKUP(A34,Регистрация!$B$7:$N$39,3,FALSE)," ",VLOOKUP(A34,Регистрация!$B$7:$N$39,4,FALSE)," ",VLOOKUP(A34,Регистрация!$B$7:$N$39,5,FALSE)," ","(",VLOOKUP(A34,Регистрация!$B$7:$N$39,11,FALSE),")"))</f>
        <v xml:space="preserve"> </v>
      </c>
      <c r="D34" s="532"/>
      <c r="E34" s="532"/>
    </row>
    <row r="35" spans="1:8" ht="14">
      <c r="A35" s="64">
        <f>IF(H27=0,0,IF(H27=F26,F28,F26))</f>
        <v>0</v>
      </c>
      <c r="B35" s="82">
        <v>4</v>
      </c>
      <c r="C35" s="532" t="str">
        <f>IF(A35=0," ",CONCATENATE(VLOOKUP(A35,Регистрация!$B$7:$N$39,3,FALSE)," ",VLOOKUP(A35,Регистрация!$B$7:$N$39,4,FALSE)," ",VLOOKUP(A35,Регистрация!$B$7:$N$39,5,FALSE)," ","(",VLOOKUP(A35,Регистрация!$B$7:$N$39,11,FALSE),")"))</f>
        <v xml:space="preserve"> </v>
      </c>
      <c r="D35" s="532"/>
      <c r="E35" s="532"/>
    </row>
    <row r="36" spans="1:8" ht="17.25" customHeight="1"/>
    <row r="37" spans="1:8" s="251" customFormat="1" ht="13">
      <c r="A37" s="527" t="s">
        <v>14</v>
      </c>
      <c r="B37" s="527"/>
      <c r="C37" s="527"/>
      <c r="D37" s="131"/>
      <c r="E37" s="131"/>
      <c r="F37" s="131"/>
      <c r="H37" s="251" t="str">
        <f>Регистрация!N73</f>
        <v>Цыльев В.А. С1К</v>
      </c>
    </row>
    <row r="38" spans="1:8" s="251" customFormat="1" ht="13"/>
    <row r="39" spans="1:8" s="251" customFormat="1" ht="13">
      <c r="A39" s="527" t="s">
        <v>15</v>
      </c>
      <c r="B39" s="527"/>
      <c r="C39" s="527"/>
      <c r="D39" s="131"/>
      <c r="E39" s="131"/>
      <c r="F39" s="131"/>
      <c r="H39" s="251" t="str">
        <f>Регистрация!N74</f>
        <v>Орлова Е.С 3 К</v>
      </c>
    </row>
    <row r="40" spans="1:8" ht="13"/>
  </sheetData>
  <mergeCells count="23">
    <mergeCell ref="C34:E34"/>
    <mergeCell ref="C35:E35"/>
    <mergeCell ref="A37:C37"/>
    <mergeCell ref="A39:C39"/>
    <mergeCell ref="F24:I24"/>
    <mergeCell ref="B30:E30"/>
    <mergeCell ref="C31:E31"/>
    <mergeCell ref="A7:I7"/>
    <mergeCell ref="C33:E33"/>
    <mergeCell ref="C32:E32"/>
    <mergeCell ref="B9:C9"/>
    <mergeCell ref="B11:C11"/>
    <mergeCell ref="B13:C13"/>
    <mergeCell ref="B15:C15"/>
    <mergeCell ref="B17:C17"/>
    <mergeCell ref="B19:C19"/>
    <mergeCell ref="B21:C21"/>
    <mergeCell ref="B23:C23"/>
    <mergeCell ref="A1:I1"/>
    <mergeCell ref="A3:I3"/>
    <mergeCell ref="A5:C5"/>
    <mergeCell ref="D5:G5"/>
    <mergeCell ref="J5:L5"/>
  </mergeCells>
  <pageMargins left="0.7" right="0.7" top="0.26" bottom="0.26" header="0.11" footer="0.15"/>
  <pageSetup paperSize="9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W66"/>
  <sheetViews>
    <sheetView showGridLines="0" showZeros="0" topLeftCell="A7" workbookViewId="0">
      <selection activeCell="A8" sqref="A8"/>
    </sheetView>
  </sheetViews>
  <sheetFormatPr defaultColWidth="9.1796875" defaultRowHeight="11.15" customHeight="1"/>
  <cols>
    <col min="1" max="1" width="2" style="276" bestFit="1" customWidth="1"/>
    <col min="2" max="2" width="5.7265625" style="104" bestFit="1" customWidth="1"/>
    <col min="3" max="3" width="33.81640625" style="104" customWidth="1"/>
    <col min="4" max="4" width="2" style="276" bestFit="1" customWidth="1"/>
    <col min="5" max="5" width="17.54296875" style="104" customWidth="1"/>
    <col min="6" max="6" width="2" style="104" bestFit="1" customWidth="1"/>
    <col min="7" max="7" width="17.54296875" style="104" customWidth="1"/>
    <col min="8" max="8" width="2" style="104" bestFit="1" customWidth="1"/>
    <col min="9" max="9" width="17.54296875" style="104" customWidth="1"/>
    <col min="10" max="10" width="2" style="104" customWidth="1"/>
    <col min="11" max="11" width="17.54296875" style="104" customWidth="1"/>
    <col min="12" max="24" width="3.453125" style="104" customWidth="1"/>
    <col min="25" max="16384" width="9.1796875" style="104"/>
  </cols>
  <sheetData>
    <row r="1" spans="1:23" ht="14">
      <c r="A1" s="534" t="str">
        <f>Регистрация!A1</f>
        <v xml:space="preserve"> Межмуниципальные соревнования по всестилевому каратэ "Первый старт" 27 сентября 2025 г.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76"/>
      <c r="M1" s="76"/>
      <c r="N1" s="76"/>
      <c r="O1" s="76"/>
      <c r="P1" s="76"/>
      <c r="Q1" s="76"/>
      <c r="R1" s="76"/>
    </row>
    <row r="2" spans="1:23" ht="14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4">
      <c r="A3" s="535" t="str">
        <f>Регистрация!A2</f>
        <v>Вид спорта: ВСЕСТИЛЕВОЕ КАРАТЭ (номер-код вида спорта - 0900001411Я)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76"/>
      <c r="M3" s="76"/>
      <c r="N3" s="76"/>
      <c r="O3" s="76"/>
      <c r="P3" s="76"/>
      <c r="Q3" s="76"/>
      <c r="R3" s="76"/>
    </row>
    <row r="4" spans="1:23" ht="13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">
      <c r="A5" s="537" t="str">
        <f>Регистрация!A3</f>
        <v>Женщины 18 +  ОК-двоеборье</v>
      </c>
      <c r="B5" s="537"/>
      <c r="C5" s="537"/>
      <c r="D5" s="537" t="str">
        <f>Регистрация!G3</f>
        <v>г. Санкт-Петербург</v>
      </c>
      <c r="E5" s="537"/>
      <c r="F5" s="537"/>
      <c r="G5" s="537"/>
      <c r="H5" s="255"/>
      <c r="I5" s="85" t="str">
        <f>Регистрация!L3</f>
        <v>27 сентября 2025</v>
      </c>
      <c r="J5" s="77"/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13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">
      <c r="A7" s="537" t="s">
        <v>18</v>
      </c>
      <c r="B7" s="537"/>
      <c r="C7" s="537"/>
      <c r="D7" s="537"/>
      <c r="E7" s="537"/>
      <c r="F7" s="537"/>
      <c r="G7" s="537"/>
      <c r="H7" s="537"/>
      <c r="I7" s="537"/>
      <c r="J7" s="537"/>
      <c r="K7" s="537"/>
      <c r="L7" s="77"/>
      <c r="M7" s="77"/>
      <c r="N7" s="77"/>
      <c r="O7" s="77"/>
      <c r="P7" s="77"/>
      <c r="Q7" s="144"/>
      <c r="R7" s="144"/>
    </row>
    <row r="8" spans="1:23" s="109" customFormat="1" ht="15.5">
      <c r="A8" s="84"/>
      <c r="B8" s="144"/>
      <c r="C8" s="105"/>
      <c r="D8" s="264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23" s="262" customFormat="1" ht="12" customHeight="1">
      <c r="A9" s="89">
        <v>1</v>
      </c>
      <c r="B9" s="539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39"/>
      <c r="D9" s="539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39"/>
      <c r="F9" s="108"/>
      <c r="G9" s="108"/>
      <c r="H9" s="108"/>
      <c r="I9" s="105"/>
      <c r="J9" s="108"/>
      <c r="K9" s="108"/>
      <c r="L9" s="105"/>
      <c r="M9" s="108"/>
      <c r="N9" s="108"/>
      <c r="O9" s="108"/>
      <c r="P9" s="110"/>
      <c r="Q9" s="113"/>
      <c r="R9" s="113"/>
      <c r="S9" s="260"/>
    </row>
    <row r="10" spans="1:23" s="109" customFormat="1" ht="4.5" customHeight="1">
      <c r="A10" s="265"/>
      <c r="B10" s="540"/>
      <c r="C10" s="540"/>
      <c r="D10" s="265"/>
      <c r="E10" s="266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254"/>
      <c r="Q10" s="105"/>
      <c r="R10" s="105"/>
      <c r="S10" s="132"/>
    </row>
    <row r="11" spans="1:23" s="261" customFormat="1" ht="12" customHeight="1">
      <c r="A11" s="265"/>
      <c r="B11" s="540"/>
      <c r="C11" s="540"/>
      <c r="D11" s="265"/>
      <c r="E11" s="267"/>
      <c r="F11" s="55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108"/>
      <c r="L11" s="108"/>
      <c r="M11" s="108"/>
      <c r="N11" s="108"/>
      <c r="O11" s="105"/>
      <c r="P11" s="108"/>
      <c r="Q11" s="112"/>
      <c r="R11" s="112"/>
      <c r="S11" s="260"/>
    </row>
    <row r="12" spans="1:23" s="109" customFormat="1" ht="12" customHeight="1">
      <c r="A12" s="89">
        <v>5</v>
      </c>
      <c r="B12" s="539" t="str">
        <f>IF(Регистрация!$D$6&lt;A12," ",CONCATENATE(VLOOKUP(A12,Регистрация!$B$7:$N$39,3,FALSE)," ",VLOOKUP(A12,Регистрация!$B$7:$N$39,4,FALSE)," ","(",VLOOKUP(A12,Регистрация!$B$7:$N$39,11,FALSE),")"))</f>
        <v>Носкова Александра (Политех)</v>
      </c>
      <c r="C12" s="539"/>
      <c r="D12" s="265"/>
      <c r="E12" s="268"/>
      <c r="F12" s="256"/>
      <c r="G12" s="269"/>
      <c r="H12" s="108"/>
      <c r="I12" s="108"/>
      <c r="J12" s="108"/>
      <c r="K12" s="108"/>
      <c r="L12" s="108"/>
      <c r="M12" s="108"/>
      <c r="N12" s="108"/>
      <c r="O12" s="105"/>
      <c r="P12" s="254"/>
      <c r="Q12" s="105"/>
      <c r="R12" s="105"/>
      <c r="S12" s="132"/>
    </row>
    <row r="13" spans="1:23" s="261" customFormat="1" ht="12" customHeight="1">
      <c r="A13" s="265"/>
      <c r="B13" s="540"/>
      <c r="C13" s="540"/>
      <c r="D13" s="53"/>
      <c r="E13" s="79" t="str">
        <f>IF(D13=0," ",CONCATENATE(VLOOKUP(D13,Регистрация!$B$7:$N$39,3,FALSE)," ",VLOOKUP(D13,Регистрация!$B$7:$N$39,4,FALSE)))</f>
        <v xml:space="preserve"> </v>
      </c>
      <c r="F13" s="256"/>
      <c r="G13" s="270"/>
      <c r="H13" s="108"/>
      <c r="I13" s="108"/>
      <c r="J13" s="108"/>
      <c r="K13" s="108"/>
      <c r="L13" s="108"/>
      <c r="M13" s="119"/>
      <c r="N13" s="119"/>
      <c r="O13" s="119"/>
      <c r="P13" s="119"/>
      <c r="Q13" s="112"/>
      <c r="R13" s="112"/>
      <c r="S13" s="260"/>
    </row>
    <row r="14" spans="1:23" s="261" customFormat="1" ht="12" customHeight="1">
      <c r="A14" s="89">
        <v>9</v>
      </c>
      <c r="B14" s="539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39"/>
      <c r="D14" s="265"/>
      <c r="E14" s="271"/>
      <c r="F14" s="256"/>
      <c r="G14" s="270"/>
      <c r="H14" s="108"/>
      <c r="I14" s="96"/>
      <c r="J14" s="96"/>
      <c r="K14" s="96"/>
      <c r="L14" s="96"/>
      <c r="M14" s="108"/>
      <c r="N14" s="108"/>
      <c r="O14" s="108"/>
      <c r="P14" s="133"/>
      <c r="Q14" s="112"/>
      <c r="R14" s="112"/>
      <c r="S14" s="260"/>
      <c r="W14" s="263"/>
    </row>
    <row r="15" spans="1:23" ht="12" customHeight="1">
      <c r="A15" s="272"/>
      <c r="B15" s="540"/>
      <c r="C15" s="540"/>
      <c r="D15" s="272"/>
      <c r="E15" s="271"/>
      <c r="F15" s="256"/>
      <c r="G15" s="270"/>
      <c r="H15" s="55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23" ht="4.5" customHeight="1">
      <c r="A16" s="272"/>
      <c r="B16" s="540"/>
      <c r="C16" s="540"/>
      <c r="D16" s="265"/>
      <c r="E16" s="271"/>
      <c r="F16" s="256"/>
      <c r="G16" s="270"/>
      <c r="H16" s="52"/>
      <c r="I16" s="269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2" customHeight="1">
      <c r="A17" s="89">
        <v>3</v>
      </c>
      <c r="B17" s="541" t="str">
        <f>IF(Регистрация!$D$6&lt;A17," ",CONCATENATE(VLOOKUP(A17,Регистрация!$B$7:$N$39,3,FALSE)," ",VLOOKUP(A17,Регистрация!$B$7:$N$39,4,FALSE)," ","(",VLOOKUP(A17,Регистрация!$B$7:$N$39,11,FALSE),")"))</f>
        <v>Паранина Полина (Политех)</v>
      </c>
      <c r="C17" s="542"/>
      <c r="D17" s="542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43"/>
      <c r="F17" s="256"/>
      <c r="G17" s="270"/>
      <c r="H17" s="45"/>
      <c r="I17" s="270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4.5" customHeight="1">
      <c r="A18" s="272"/>
      <c r="B18" s="540"/>
      <c r="C18" s="540"/>
      <c r="D18" s="265"/>
      <c r="E18" s="267"/>
      <c r="F18" s="256"/>
      <c r="G18" s="273"/>
      <c r="H18" s="45"/>
      <c r="I18" s="270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2" customHeight="1">
      <c r="A19" s="272"/>
      <c r="B19" s="540"/>
      <c r="C19" s="540"/>
      <c r="D19" s="265"/>
      <c r="E19" s="267"/>
      <c r="F19" s="55"/>
      <c r="G19" s="79" t="str">
        <f>IF(F19=0," ",CONCATENATE(VLOOKUP(F19,Регистрация!$B$7:$N$39,3,FALSE)," ",VLOOKUP(F19,Регистрация!$B$7:$N$39,4,FALSE)))</f>
        <v xml:space="preserve"> </v>
      </c>
      <c r="H19" s="45"/>
      <c r="I19" s="270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4.5" customHeight="1">
      <c r="A20" s="272"/>
      <c r="B20" s="540"/>
      <c r="C20" s="540"/>
      <c r="D20" s="265"/>
      <c r="E20" s="267"/>
      <c r="F20" s="44"/>
      <c r="G20" s="274"/>
      <c r="H20" s="45"/>
      <c r="I20" s="270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2" customHeight="1">
      <c r="A21" s="87">
        <v>7</v>
      </c>
      <c r="B21" s="539" t="str">
        <f>IF(Регистрация!$D$6&lt;A21," ",CONCATENATE(VLOOKUP(A21,Регистрация!$B$7:$N$39,3,FALSE)," ",VLOOKUP(A21,Регистрация!$B$7:$N$39,4,FALSE)," ","(",VLOOKUP(A21,Регистрация!$B$7:$N$39,11,FALSE),")"))</f>
        <v xml:space="preserve"> </v>
      </c>
      <c r="C21" s="539"/>
      <c r="D21" s="539" t="e">
        <f>IF(Регистрация!$D$6&lt;C21," ",CONCATENATE(VLOOKUP(C21,Регистрация!$B$7:$N$39,3,FALSE)," ",VLOOKUP(C21,Регистрация!$B$7:$N$39,4,FALSE)," ","(",VLOOKUP(C21,Регистрация!$B$7:$N$39,11,FALSE),")"))</f>
        <v>#N/A</v>
      </c>
      <c r="E21" s="539"/>
      <c r="F21" s="44"/>
      <c r="G21" s="274"/>
      <c r="H21" s="45"/>
      <c r="I21" s="270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4.5" customHeight="1">
      <c r="A22" s="272"/>
      <c r="B22" s="540"/>
      <c r="C22" s="540"/>
      <c r="D22" s="265"/>
      <c r="E22" s="271"/>
      <c r="F22" s="50"/>
      <c r="G22" s="274"/>
      <c r="H22" s="50"/>
      <c r="I22" s="27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2" customHeight="1">
      <c r="A23" s="272"/>
      <c r="B23" s="540"/>
      <c r="C23" s="540"/>
      <c r="D23" s="272"/>
      <c r="E23" s="271"/>
      <c r="F23" s="42"/>
      <c r="G23" s="274"/>
      <c r="H23" s="42"/>
      <c r="I23" s="270"/>
      <c r="J23" s="55"/>
      <c r="K23" s="79" t="str">
        <f>IF(J23=0," ",CONCATENATE(VLOOKUP(J23,Регистрация!$B$7:$N$39,3,FALSE)," ",VLOOKUP(J23,Регистрация!$B$7:$N$39,4,FALSE)))</f>
        <v xml:space="preserve"> </v>
      </c>
      <c r="L23" s="77"/>
      <c r="M23" s="77"/>
      <c r="N23" s="77"/>
      <c r="O23" s="77"/>
      <c r="P23" s="77"/>
      <c r="Q23" s="77"/>
      <c r="R23" s="77"/>
    </row>
    <row r="24" spans="1:18" ht="4.5" customHeight="1">
      <c r="A24" s="265"/>
      <c r="B24" s="540"/>
      <c r="C24" s="540"/>
      <c r="D24" s="272"/>
      <c r="E24" s="271"/>
      <c r="F24" s="249"/>
      <c r="G24" s="274"/>
      <c r="H24" s="249"/>
      <c r="I24" s="270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2" customHeight="1">
      <c r="A25" s="89">
        <v>2</v>
      </c>
      <c r="B25" s="539" t="str">
        <f>IF(Регистрация!$D$6&lt;A25," ",CONCATENATE(VLOOKUP(A25,Регистрация!$B$7:$N$39,3,FALSE)," ",VLOOKUP(A25,Регистрация!$B$7:$N$39,4,FALSE)," ","(",VLOOKUP(A25,Регистрация!$B$7:$N$39,11,FALSE),")"))</f>
        <v>Хохлова Элина (WSKF)</v>
      </c>
      <c r="C25" s="539"/>
      <c r="D25" s="539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39"/>
      <c r="F25" s="249"/>
      <c r="G25" s="274"/>
      <c r="H25" s="249"/>
      <c r="I25" s="270"/>
      <c r="J25" s="77"/>
      <c r="K25" s="77"/>
      <c r="L25" s="77"/>
      <c r="M25" s="77"/>
      <c r="N25" s="77"/>
      <c r="O25" s="77"/>
      <c r="P25" s="77"/>
      <c r="Q25" s="77"/>
      <c r="R25" s="77"/>
    </row>
    <row r="26" spans="1:18" ht="4.5" customHeight="1">
      <c r="A26" s="265"/>
      <c r="B26" s="540"/>
      <c r="C26" s="540"/>
      <c r="D26" s="272"/>
      <c r="E26" s="267"/>
      <c r="F26" s="249"/>
      <c r="G26" s="274"/>
      <c r="H26" s="249"/>
      <c r="I26" s="270"/>
      <c r="J26" s="77"/>
      <c r="K26" s="77"/>
      <c r="L26" s="77"/>
      <c r="M26" s="77"/>
      <c r="N26" s="77"/>
      <c r="O26" s="77"/>
      <c r="P26" s="77"/>
      <c r="Q26" s="77"/>
      <c r="R26" s="77"/>
    </row>
    <row r="27" spans="1:18" ht="12" customHeight="1">
      <c r="A27" s="265"/>
      <c r="B27" s="540"/>
      <c r="C27" s="540"/>
      <c r="D27" s="272"/>
      <c r="E27" s="267"/>
      <c r="F27" s="55"/>
      <c r="G27" s="79" t="str">
        <f>IF(F27=0," ",CONCATENATE(VLOOKUP(F27,Регистрация!$B$7:$N$39,3,FALSE)," ",VLOOKUP(F27,Регистрация!$B$7:$N$39,4,FALSE)))</f>
        <v xml:space="preserve"> </v>
      </c>
      <c r="H27" s="249"/>
      <c r="I27" s="270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4.5" customHeight="1">
      <c r="A28" s="265"/>
      <c r="B28" s="540"/>
      <c r="C28" s="540"/>
      <c r="D28" s="272"/>
      <c r="E28" s="267"/>
      <c r="F28" s="249"/>
      <c r="G28" s="269"/>
      <c r="H28" s="249"/>
      <c r="I28" s="270"/>
      <c r="J28" s="77"/>
      <c r="K28" s="77"/>
      <c r="L28" s="77"/>
      <c r="M28" s="77"/>
      <c r="N28" s="77"/>
      <c r="O28" s="77"/>
      <c r="P28" s="77"/>
      <c r="Q28" s="77"/>
      <c r="R28" s="77"/>
    </row>
    <row r="29" spans="1:18" ht="12" customHeight="1">
      <c r="A29" s="89">
        <v>6</v>
      </c>
      <c r="B29" s="539" t="str">
        <f>IF(Регистрация!$D$6&lt;A29," ",CONCATENATE(VLOOKUP(A29,Регистрация!$B$7:$N$39,3,FALSE)," ",VLOOKUP(A29,Регистрация!$B$7:$N$39,4,FALSE)," ","(",VLOOKUP(A29,Регистрация!$B$7:$N$39,11,FALSE),")"))</f>
        <v>Павлова Мария (Политех)</v>
      </c>
      <c r="C29" s="539"/>
      <c r="D29" s="539" t="e">
        <f>IF(Регистрация!$D$6&lt;C29," ",CONCATENATE(VLOOKUP(C29,Регистрация!$B$7:$N$39,3,FALSE)," ",VLOOKUP(C29,Регистрация!$B$7:$N$39,4,FALSE)," ","(",VLOOKUP(C29,Регистрация!$B$7:$N$39,11,FALSE),")"))</f>
        <v>#N/A</v>
      </c>
      <c r="E29" s="539"/>
      <c r="F29" s="249"/>
      <c r="G29" s="270"/>
      <c r="H29" s="249"/>
      <c r="I29" s="270"/>
      <c r="J29" s="77"/>
      <c r="K29" s="77"/>
      <c r="L29" s="77"/>
      <c r="M29" s="77"/>
      <c r="N29" s="77"/>
      <c r="O29" s="77"/>
      <c r="P29" s="77"/>
      <c r="Q29" s="77"/>
      <c r="R29" s="77"/>
    </row>
    <row r="30" spans="1:18" ht="4.5" customHeight="1">
      <c r="A30" s="265"/>
      <c r="B30" s="540"/>
      <c r="C30" s="540"/>
      <c r="D30" s="272"/>
      <c r="E30" s="271"/>
      <c r="F30" s="249"/>
      <c r="G30" s="270"/>
      <c r="H30" s="249"/>
      <c r="I30" s="273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2" customHeight="1">
      <c r="A31" s="272"/>
      <c r="B31" s="540"/>
      <c r="C31" s="540"/>
      <c r="D31" s="272"/>
      <c r="E31" s="271"/>
      <c r="F31" s="249"/>
      <c r="G31" s="270"/>
      <c r="H31" s="55"/>
      <c r="I31" s="79" t="str">
        <f>IF(H31=0," ",CONCATENATE(VLOOKUP(H31,Регистрация!$B$7:$N$39,3,FALSE)," ",VLOOKUP(H31,Регистрация!$B$7:$N$39,4,FALSE)))</f>
        <v xml:space="preserve"> </v>
      </c>
      <c r="J31" s="77"/>
      <c r="K31" s="77"/>
      <c r="L31" s="77"/>
      <c r="M31" s="77"/>
      <c r="N31" s="77"/>
      <c r="O31" s="77"/>
      <c r="P31" s="77"/>
      <c r="Q31" s="77"/>
      <c r="R31" s="77"/>
    </row>
    <row r="32" spans="1:18" ht="4.5" customHeight="1">
      <c r="A32" s="272"/>
      <c r="B32" s="540"/>
      <c r="C32" s="540"/>
      <c r="D32" s="272"/>
      <c r="E32" s="271"/>
      <c r="F32" s="249"/>
      <c r="G32" s="270"/>
      <c r="H32" s="144"/>
      <c r="I32" s="144"/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12" customHeight="1">
      <c r="A33" s="89">
        <v>4</v>
      </c>
      <c r="B33" s="539" t="str">
        <f>IF(Регистрация!$D$6&lt;A33," ",CONCATENATE(VLOOKUP(A33,Регистрация!$B$7:$N$39,3,FALSE)," ",VLOOKUP(A33,Регистрация!$B$7:$N$39,4,FALSE)," ","(",VLOOKUP(A33,Регистрация!$B$7:$N$39,11,FALSE),")"))</f>
        <v>Шайдулина Алина (Политех)</v>
      </c>
      <c r="C33" s="539"/>
      <c r="D33" s="539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39"/>
      <c r="F33" s="249"/>
      <c r="G33" s="270"/>
      <c r="H33" s="144"/>
      <c r="I33" s="144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4.5" customHeight="1">
      <c r="A34" s="272"/>
      <c r="B34" s="540"/>
      <c r="C34" s="540"/>
      <c r="D34" s="272"/>
      <c r="E34" s="267"/>
      <c r="F34" s="249"/>
      <c r="G34" s="273"/>
      <c r="H34" s="144"/>
      <c r="I34" s="144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12" customHeight="1">
      <c r="A35" s="272"/>
      <c r="B35" s="540"/>
      <c r="C35" s="540"/>
      <c r="D35" s="272"/>
      <c r="E35" s="267"/>
      <c r="F35" s="55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544" t="s">
        <v>25</v>
      </c>
      <c r="J35" s="544"/>
      <c r="K35" s="544"/>
      <c r="L35" s="77"/>
      <c r="M35" s="77"/>
      <c r="N35" s="77"/>
      <c r="O35" s="77"/>
      <c r="P35" s="77"/>
      <c r="Q35" s="77"/>
      <c r="R35" s="77"/>
    </row>
    <row r="36" spans="1:18" ht="4.5" customHeight="1">
      <c r="A36" s="272"/>
      <c r="B36" s="540"/>
      <c r="C36" s="540"/>
      <c r="D36" s="272"/>
      <c r="E36" s="267"/>
      <c r="F36" s="144"/>
      <c r="G36" s="144"/>
      <c r="H36" s="144"/>
      <c r="I36" s="144"/>
      <c r="J36" s="77"/>
      <c r="K36" s="77"/>
      <c r="L36" s="77"/>
      <c r="M36" s="77"/>
      <c r="N36" s="77"/>
      <c r="O36" s="77"/>
      <c r="P36" s="77"/>
      <c r="Q36" s="77"/>
      <c r="R36" s="77"/>
    </row>
    <row r="37" spans="1:18" ht="12" customHeight="1">
      <c r="A37" s="87">
        <v>8</v>
      </c>
      <c r="B37" s="539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39"/>
      <c r="D37" s="539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39"/>
      <c r="F37" s="144"/>
      <c r="G37" s="144"/>
      <c r="H37" s="53">
        <f>IF(H15=0,0,IF(H15=F11,F19,F11))</f>
        <v>0</v>
      </c>
      <c r="I37" s="79" t="str">
        <f>IF(H37=0," ",CONCATENATE(VLOOKUP(H37,Регистрация!$B$7:$N$39,3,FALSE)," ",VLOOKUP(H37,Регистрация!$B$7:$N$39,4,FALSE)))</f>
        <v xml:space="preserve"> </v>
      </c>
      <c r="J37" s="108"/>
      <c r="K37" s="108"/>
      <c r="L37" s="77"/>
      <c r="M37" s="77"/>
      <c r="N37" s="77"/>
      <c r="O37" s="77"/>
      <c r="P37" s="77"/>
      <c r="Q37" s="77"/>
      <c r="R37" s="77"/>
    </row>
    <row r="38" spans="1:18" ht="12" customHeight="1">
      <c r="A38" s="272"/>
      <c r="B38" s="540"/>
      <c r="C38" s="540"/>
      <c r="D38" s="142"/>
      <c r="E38" s="110"/>
      <c r="F38" s="254"/>
      <c r="G38" s="254"/>
      <c r="H38" s="256"/>
      <c r="I38" s="267"/>
      <c r="J38" s="55"/>
      <c r="K38" s="79" t="str">
        <f>IF(J38=0," ",CONCATENATE(VLOOKUP(J38,Регистрация!$B$7:$N$39,3,FALSE)," ",VLOOKUP(J38,Регистрация!$B$7:$N$39,4,FALSE)))</f>
        <v xml:space="preserve"> </v>
      </c>
      <c r="L38" s="127"/>
      <c r="M38" s="254"/>
      <c r="N38" s="254"/>
      <c r="O38" s="254"/>
      <c r="P38" s="254"/>
      <c r="Q38" s="110"/>
      <c r="R38" s="122"/>
    </row>
    <row r="39" spans="1:18" ht="12" customHeight="1">
      <c r="D39" s="277"/>
      <c r="E39" s="128"/>
      <c r="H39" s="53">
        <f>IF(H31=0,0,IF(H31=F27,F35,F27))</f>
        <v>0</v>
      </c>
      <c r="I39" s="79" t="str">
        <f>IF(H39=0," ",CONCATENATE(VLOOKUP(H39,Регистрация!$B$7:$N$39,3,FALSE)," ",VLOOKUP(H39,Регистрация!$B$7:$N$39,4,FALSE)))</f>
        <v xml:space="preserve"> </v>
      </c>
      <c r="J39" s="108"/>
      <c r="K39" s="105"/>
      <c r="L39" s="129"/>
      <c r="M39" s="129"/>
      <c r="N39" s="129"/>
      <c r="O39" s="129"/>
      <c r="P39" s="129"/>
      <c r="Q39" s="122"/>
      <c r="R39" s="122"/>
    </row>
    <row r="40" spans="1:18" ht="13">
      <c r="A40" s="526" t="s">
        <v>16</v>
      </c>
      <c r="B40" s="526"/>
      <c r="C40" s="526"/>
      <c r="D40" s="526"/>
      <c r="E40" s="526"/>
      <c r="H40" s="52"/>
    </row>
    <row r="41" spans="1:18" ht="13">
      <c r="A41" s="126"/>
      <c r="B41" s="88" t="s">
        <v>1</v>
      </c>
      <c r="C41" s="278" t="s">
        <v>17</v>
      </c>
      <c r="D41" s="252"/>
      <c r="E41" s="253"/>
    </row>
    <row r="42" spans="1:18" ht="13.5" customHeight="1">
      <c r="A42" s="57">
        <f>J23</f>
        <v>0</v>
      </c>
      <c r="B42" s="88">
        <v>1</v>
      </c>
      <c r="C42" s="545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46"/>
      <c r="E42" s="547"/>
      <c r="F42" s="99"/>
      <c r="G42" s="111"/>
      <c r="H42" s="108"/>
      <c r="I42" s="105"/>
    </row>
    <row r="43" spans="1:18" ht="13.5" customHeight="1">
      <c r="A43" s="57">
        <f>IF(J23=0,0,IF(J23=H15,H31,H15))</f>
        <v>0</v>
      </c>
      <c r="B43" s="88">
        <v>2</v>
      </c>
      <c r="C43" s="545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6"/>
      <c r="E43" s="547"/>
    </row>
    <row r="44" spans="1:18" ht="13.5" customHeight="1">
      <c r="A44" s="57">
        <f>J38</f>
        <v>0</v>
      </c>
      <c r="B44" s="88">
        <v>3</v>
      </c>
      <c r="C44" s="545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6"/>
      <c r="E44" s="547"/>
    </row>
    <row r="45" spans="1:18" ht="13.5" customHeight="1">
      <c r="A45" s="57">
        <f>IF(J38=0,0,IF(J38=H37,H39,H37))</f>
        <v>0</v>
      </c>
      <c r="B45" s="88">
        <v>4</v>
      </c>
      <c r="C45" s="545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6"/>
      <c r="E45" s="547"/>
    </row>
    <row r="46" spans="1:18" s="251" customFormat="1" ht="27.75" customHeight="1">
      <c r="A46" s="527" t="s">
        <v>14</v>
      </c>
      <c r="B46" s="527"/>
      <c r="C46" s="527"/>
      <c r="D46" s="276"/>
      <c r="F46" s="131"/>
      <c r="G46" s="131"/>
      <c r="H46" s="131"/>
      <c r="J46" s="251" t="str">
        <f>Регистрация!N73</f>
        <v>Цыльев В.А. С1К</v>
      </c>
    </row>
    <row r="47" spans="1:18" s="251" customFormat="1" ht="13">
      <c r="A47" s="276"/>
      <c r="D47" s="276"/>
    </row>
    <row r="48" spans="1:18" s="251" customFormat="1" ht="13">
      <c r="A48" s="527" t="s">
        <v>15</v>
      </c>
      <c r="B48" s="527"/>
      <c r="C48" s="527"/>
      <c r="D48" s="276"/>
      <c r="F48" s="131"/>
      <c r="G48" s="131"/>
      <c r="H48" s="131"/>
      <c r="J48" s="251" t="str">
        <f>Регистрация!N74</f>
        <v>Орлова Е.С 3 К</v>
      </c>
    </row>
    <row r="50" s="104" customFormat="1" ht="13"/>
    <row r="51" s="104" customFormat="1" ht="13"/>
    <row r="52" s="104" customFormat="1" ht="13"/>
    <row r="53" s="104" customFormat="1" ht="13"/>
    <row r="54" s="104" customFormat="1" ht="13"/>
    <row r="55" s="104" customFormat="1" ht="13"/>
    <row r="56" s="104" customFormat="1" ht="13"/>
    <row r="57" s="104" customFormat="1" ht="13"/>
    <row r="58" s="104" customFormat="1" ht="13"/>
    <row r="59" s="104" customFormat="1" ht="13"/>
    <row r="60" s="104" customFormat="1" ht="13"/>
    <row r="61" s="104" customFormat="1" ht="13"/>
    <row r="62" s="104" customFormat="1" ht="13"/>
    <row r="63" s="104" customFormat="1" ht="13"/>
    <row r="64" s="104" customFormat="1" ht="13"/>
    <row r="65" s="104" customFormat="1" ht="13"/>
    <row r="66" s="104" customFormat="1" ht="13"/>
  </sheetData>
  <mergeCells count="43">
    <mergeCell ref="I35:K35"/>
    <mergeCell ref="B36:C36"/>
    <mergeCell ref="A46:C46"/>
    <mergeCell ref="A48:C48"/>
    <mergeCell ref="B38:C38"/>
    <mergeCell ref="A40:E40"/>
    <mergeCell ref="C42:E42"/>
    <mergeCell ref="C43:E43"/>
    <mergeCell ref="C44:E44"/>
    <mergeCell ref="C45:E45"/>
    <mergeCell ref="B37:E37"/>
    <mergeCell ref="B32:C32"/>
    <mergeCell ref="B33:E33"/>
    <mergeCell ref="B34:C34"/>
    <mergeCell ref="B35:C35"/>
    <mergeCell ref="B26:C26"/>
    <mergeCell ref="B27:C27"/>
    <mergeCell ref="B28:C28"/>
    <mergeCell ref="B29:E29"/>
    <mergeCell ref="B30:C30"/>
    <mergeCell ref="B31:C31"/>
    <mergeCell ref="B24:C24"/>
    <mergeCell ref="B15:C15"/>
    <mergeCell ref="B16:C16"/>
    <mergeCell ref="B17:E17"/>
    <mergeCell ref="B18:C18"/>
    <mergeCell ref="B19:C19"/>
    <mergeCell ref="B25:E25"/>
    <mergeCell ref="B14:C14"/>
    <mergeCell ref="A1:K1"/>
    <mergeCell ref="A3:K3"/>
    <mergeCell ref="A5:C5"/>
    <mergeCell ref="D5:G5"/>
    <mergeCell ref="A7:K7"/>
    <mergeCell ref="B9:E9"/>
    <mergeCell ref="B10:C10"/>
    <mergeCell ref="B11:C11"/>
    <mergeCell ref="B12:C12"/>
    <mergeCell ref="B13:C13"/>
    <mergeCell ref="B20:C20"/>
    <mergeCell ref="B21:E21"/>
    <mergeCell ref="B22:C22"/>
    <mergeCell ref="B23:C23"/>
  </mergeCells>
  <pageMargins left="0.7" right="0.46" top="0.18" bottom="0.25" header="0.11" footer="0.15"/>
  <pageSetup paperSize="9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W66"/>
  <sheetViews>
    <sheetView showGridLines="0" showZeros="0" topLeftCell="A32" zoomScale="80" zoomScaleNormal="80" workbookViewId="0">
      <selection activeCell="C53" sqref="C53"/>
    </sheetView>
  </sheetViews>
  <sheetFormatPr defaultColWidth="9.1796875" defaultRowHeight="11.15" customHeight="1"/>
  <cols>
    <col min="1" max="1" width="2.453125" style="276" bestFit="1" customWidth="1"/>
    <col min="2" max="2" width="5.7265625" style="104" bestFit="1" customWidth="1"/>
    <col min="3" max="3" width="33.81640625" style="104" customWidth="1"/>
    <col min="4" max="4" width="2.453125" style="276" bestFit="1" customWidth="1"/>
    <col min="5" max="5" width="17.54296875" style="104" customWidth="1"/>
    <col min="6" max="6" width="2.453125" style="104" bestFit="1" customWidth="1"/>
    <col min="7" max="7" width="17.54296875" style="104" customWidth="1"/>
    <col min="8" max="8" width="2" style="104" bestFit="1" customWidth="1"/>
    <col min="9" max="9" width="17.54296875" style="104" customWidth="1"/>
    <col min="10" max="10" width="2" style="104" customWidth="1"/>
    <col min="11" max="11" width="17.54296875" style="104" customWidth="1"/>
    <col min="12" max="24" width="3.453125" style="104" customWidth="1"/>
    <col min="25" max="16384" width="9.1796875" style="104"/>
  </cols>
  <sheetData>
    <row r="1" spans="1:23" ht="14">
      <c r="A1" s="534" t="str">
        <f>Регистрация!A1</f>
        <v xml:space="preserve"> Межмуниципальные соревнования по всестилевому каратэ "Первый старт" 27 сентября 2025 г.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76"/>
      <c r="M1" s="76"/>
      <c r="N1" s="76"/>
      <c r="O1" s="76"/>
      <c r="P1" s="76"/>
      <c r="Q1" s="76"/>
      <c r="R1" s="76"/>
    </row>
    <row r="2" spans="1:23" ht="14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4">
      <c r="A3" s="535" t="str">
        <f>Регистрация!A2</f>
        <v>Вид спорта: ВСЕСТИЛЕВОЕ КАРАТЭ (номер-код вида спорта - 0900001411Я)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76"/>
      <c r="M3" s="76"/>
      <c r="N3" s="76"/>
      <c r="O3" s="76"/>
      <c r="P3" s="76"/>
      <c r="Q3" s="76"/>
      <c r="R3" s="76"/>
    </row>
    <row r="4" spans="1:23" ht="13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">
      <c r="A5" s="537" t="str">
        <f>Регистрация!A3</f>
        <v>Женщины 18 +  ОК-двоеборье</v>
      </c>
      <c r="B5" s="537"/>
      <c r="C5" s="537"/>
      <c r="D5" s="537" t="str">
        <f>Регистрация!G3</f>
        <v>г. Санкт-Петербург</v>
      </c>
      <c r="E5" s="537"/>
      <c r="F5" s="537"/>
      <c r="G5" s="537"/>
      <c r="H5" s="255"/>
      <c r="I5" s="85" t="str">
        <f>Регистрация!L3</f>
        <v>27 сентября 2025</v>
      </c>
      <c r="J5" s="77"/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13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">
      <c r="A7" s="537" t="s">
        <v>18</v>
      </c>
      <c r="B7" s="537"/>
      <c r="C7" s="537"/>
      <c r="D7" s="537"/>
      <c r="E7" s="537"/>
      <c r="F7" s="537"/>
      <c r="G7" s="537"/>
      <c r="H7" s="537"/>
      <c r="I7" s="537"/>
      <c r="J7" s="537"/>
      <c r="K7" s="537"/>
      <c r="L7" s="77"/>
      <c r="M7" s="77"/>
      <c r="N7" s="77"/>
      <c r="O7" s="77"/>
      <c r="P7" s="77"/>
      <c r="Q7" s="144"/>
      <c r="R7" s="144"/>
    </row>
    <row r="8" spans="1:23" s="261" customFormat="1" ht="14">
      <c r="A8" s="265"/>
      <c r="B8" s="540"/>
      <c r="C8" s="540"/>
      <c r="D8" s="84"/>
      <c r="E8" s="137"/>
      <c r="F8" s="108"/>
      <c r="G8" s="108"/>
      <c r="H8" s="108"/>
      <c r="I8" s="84"/>
      <c r="J8" s="84"/>
      <c r="K8" s="84"/>
      <c r="L8" s="84"/>
      <c r="M8" s="108"/>
      <c r="N8" s="108"/>
      <c r="O8" s="108"/>
      <c r="P8" s="110"/>
      <c r="Q8" s="112"/>
      <c r="R8" s="112"/>
      <c r="S8" s="260"/>
    </row>
    <row r="9" spans="1:23" s="281" customFormat="1" ht="12" customHeight="1">
      <c r="A9" s="89">
        <v>1</v>
      </c>
      <c r="B9" s="54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42"/>
      <c r="D9" s="54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43"/>
      <c r="F9" s="142"/>
      <c r="G9" s="142"/>
      <c r="H9" s="142"/>
      <c r="I9" s="279"/>
      <c r="J9" s="142"/>
      <c r="K9" s="142"/>
      <c r="L9" s="279"/>
      <c r="M9" s="142"/>
      <c r="N9" s="142"/>
      <c r="O9" s="142"/>
      <c r="P9" s="279"/>
      <c r="Q9" s="280"/>
      <c r="R9" s="280"/>
      <c r="S9" s="276"/>
    </row>
    <row r="10" spans="1:23" s="281" customFormat="1" ht="8.25" customHeight="1">
      <c r="A10" s="265"/>
      <c r="B10" s="540"/>
      <c r="C10" s="540"/>
      <c r="D10" s="265"/>
      <c r="E10" s="270"/>
      <c r="F10" s="142"/>
      <c r="G10" s="142"/>
      <c r="H10" s="142"/>
      <c r="I10" s="279"/>
      <c r="J10" s="142"/>
      <c r="K10" s="142"/>
      <c r="L10" s="279"/>
      <c r="M10" s="142"/>
      <c r="N10" s="142"/>
      <c r="O10" s="142"/>
      <c r="P10" s="142"/>
      <c r="Q10" s="279"/>
      <c r="R10" s="279"/>
      <c r="S10" s="276"/>
    </row>
    <row r="11" spans="1:23" s="283" customFormat="1" ht="12" customHeight="1">
      <c r="A11" s="265"/>
      <c r="B11" s="540"/>
      <c r="C11" s="540"/>
      <c r="D11" s="265"/>
      <c r="E11" s="270"/>
      <c r="F11" s="55">
        <v>9</v>
      </c>
      <c r="G11" s="79" t="str">
        <f>IF(F11=0," ",CONCATENATE(VLOOKUP(F11,Регистрация!$B$7:$N$39,3,FALSE)," ",VLOOKUP(F11,Регистрация!$B$7:$N$39,4,FALSE)))</f>
        <v xml:space="preserve"> </v>
      </c>
      <c r="H11" s="142"/>
      <c r="I11" s="142"/>
      <c r="J11" s="142"/>
      <c r="K11" s="142"/>
      <c r="L11" s="142"/>
      <c r="M11" s="142"/>
      <c r="N11" s="142"/>
      <c r="O11" s="279"/>
      <c r="P11" s="142"/>
      <c r="Q11" s="282"/>
      <c r="R11" s="282"/>
      <c r="S11" s="276"/>
    </row>
    <row r="12" spans="1:23" s="281" customFormat="1" ht="12" customHeight="1">
      <c r="A12" s="89">
        <v>5</v>
      </c>
      <c r="B12" s="539" t="str">
        <f>IF(Регистрация!$D$6&lt;A12," ",CONCATENATE(VLOOKUP(A12,Регистрация!$B$7:$N$39,3,FALSE)," ",VLOOKUP(A12,Регистрация!$B$7:$N$39,4,FALSE)," ","(",VLOOKUP(A12,Регистрация!$B$7:$N$39,11,FALSE),")"))</f>
        <v>Носкова Александра (Политех)</v>
      </c>
      <c r="C12" s="539"/>
      <c r="D12" s="265"/>
      <c r="E12" s="273"/>
      <c r="F12" s="256"/>
      <c r="G12" s="269"/>
      <c r="H12" s="142"/>
      <c r="I12" s="142"/>
      <c r="J12" s="142"/>
      <c r="K12" s="142"/>
      <c r="L12" s="142"/>
      <c r="M12" s="142"/>
      <c r="N12" s="142"/>
      <c r="O12" s="279"/>
      <c r="P12" s="142"/>
      <c r="Q12" s="279"/>
      <c r="R12" s="279"/>
      <c r="S12" s="276"/>
    </row>
    <row r="13" spans="1:23" s="283" customFormat="1" ht="12" customHeight="1">
      <c r="A13" s="265"/>
      <c r="B13" s="540"/>
      <c r="C13" s="540"/>
      <c r="D13" s="53">
        <v>9</v>
      </c>
      <c r="E13" s="79" t="str">
        <f>IF(D13=0," ",CONCATENATE(VLOOKUP(D13,Регистрация!$B$7:$N$39,3,FALSE)," ",VLOOKUP(D13,Регистрация!$B$7:$N$39,4,FALSE)))</f>
        <v xml:space="preserve"> </v>
      </c>
      <c r="F13" s="256"/>
      <c r="G13" s="270"/>
      <c r="H13" s="142"/>
      <c r="I13" s="142"/>
      <c r="J13" s="142"/>
      <c r="K13" s="142"/>
      <c r="L13" s="142"/>
      <c r="M13" s="284"/>
      <c r="N13" s="284"/>
      <c r="O13" s="284"/>
      <c r="P13" s="284"/>
      <c r="Q13" s="282"/>
      <c r="R13" s="282"/>
      <c r="S13" s="276"/>
    </row>
    <row r="14" spans="1:23" s="283" customFormat="1" ht="12" customHeight="1">
      <c r="A14" s="89">
        <v>9</v>
      </c>
      <c r="B14" s="539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39"/>
      <c r="D14" s="265"/>
      <c r="E14" s="274"/>
      <c r="F14" s="256"/>
      <c r="G14" s="270"/>
      <c r="H14" s="142"/>
      <c r="I14" s="285"/>
      <c r="J14" s="285"/>
      <c r="K14" s="285"/>
      <c r="L14" s="285"/>
      <c r="M14" s="142"/>
      <c r="N14" s="142"/>
      <c r="O14" s="142"/>
      <c r="P14" s="286"/>
      <c r="Q14" s="282"/>
      <c r="R14" s="282"/>
      <c r="S14" s="276"/>
      <c r="W14" s="287"/>
    </row>
    <row r="15" spans="1:23" s="283" customFormat="1" ht="12" customHeight="1">
      <c r="A15" s="272"/>
      <c r="B15" s="540"/>
      <c r="C15" s="540"/>
      <c r="D15" s="272"/>
      <c r="E15" s="274"/>
      <c r="F15" s="256"/>
      <c r="G15" s="270"/>
      <c r="H15" s="55">
        <v>9</v>
      </c>
      <c r="I15" s="79" t="str">
        <f>IF(H15=0," ",CONCATENATE(VLOOKUP(H15,Регистрация!$B$7:$N$39,3,FALSE)," ",VLOOKUP(H15,Регистрация!$B$7:$N$39,4,FALSE)))</f>
        <v xml:space="preserve"> </v>
      </c>
      <c r="J15" s="279"/>
      <c r="K15" s="279"/>
      <c r="L15" s="279"/>
      <c r="M15" s="142"/>
      <c r="N15" s="142"/>
      <c r="O15" s="142"/>
      <c r="P15" s="288"/>
      <c r="Q15" s="281"/>
      <c r="R15" s="289"/>
    </row>
    <row r="16" spans="1:23" s="283" customFormat="1" ht="8.25" customHeight="1">
      <c r="A16" s="272"/>
      <c r="B16" s="540"/>
      <c r="C16" s="540"/>
      <c r="D16" s="265"/>
      <c r="E16" s="274"/>
      <c r="F16" s="256"/>
      <c r="G16" s="270"/>
      <c r="I16" s="269"/>
      <c r="J16" s="290"/>
      <c r="K16" s="290"/>
      <c r="L16" s="290"/>
      <c r="M16" s="142"/>
      <c r="N16" s="142"/>
      <c r="O16" s="279"/>
      <c r="P16" s="142"/>
      <c r="Q16" s="279"/>
      <c r="R16" s="289"/>
    </row>
    <row r="17" spans="1:18" s="283" customFormat="1" ht="12" customHeight="1">
      <c r="A17" s="89">
        <v>3</v>
      </c>
      <c r="B17" s="541" t="str">
        <f>IF(Регистрация!$D$6&lt;A17," ",CONCATENATE(VLOOKUP(A17,Регистрация!$B$7:$N$39,3,FALSE)," ",VLOOKUP(A17,Регистрация!$B$7:$N$39,4,FALSE)," ","(",VLOOKUP(A17,Регистрация!$B$7:$N$39,11,FALSE),")"))</f>
        <v>Паранина Полина (Политех)</v>
      </c>
      <c r="C17" s="542"/>
      <c r="D17" s="542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43"/>
      <c r="F17" s="256"/>
      <c r="G17" s="270"/>
      <c r="H17" s="142"/>
      <c r="I17" s="270"/>
      <c r="J17" s="142"/>
      <c r="K17" s="142"/>
      <c r="L17" s="142"/>
      <c r="M17" s="142"/>
      <c r="N17" s="142"/>
      <c r="O17" s="279"/>
      <c r="P17" s="142"/>
      <c r="Q17" s="279"/>
      <c r="R17" s="289"/>
    </row>
    <row r="18" spans="1:18" s="283" customFormat="1" ht="8.25" customHeight="1">
      <c r="A18" s="272"/>
      <c r="B18" s="540"/>
      <c r="C18" s="540"/>
      <c r="D18" s="265"/>
      <c r="E18" s="270"/>
      <c r="F18" s="256"/>
      <c r="G18" s="273"/>
      <c r="H18" s="142"/>
      <c r="I18" s="270"/>
      <c r="J18" s="142"/>
      <c r="K18" s="142"/>
      <c r="L18" s="279"/>
      <c r="M18" s="142"/>
      <c r="N18" s="142"/>
      <c r="O18" s="142"/>
      <c r="P18" s="142"/>
      <c r="Q18" s="279"/>
      <c r="R18" s="289"/>
    </row>
    <row r="19" spans="1:18" s="283" customFormat="1" ht="12" customHeight="1">
      <c r="A19" s="272"/>
      <c r="B19" s="540"/>
      <c r="C19" s="540"/>
      <c r="D19" s="265"/>
      <c r="E19" s="270"/>
      <c r="F19" s="55">
        <v>7</v>
      </c>
      <c r="G19" s="79" t="str">
        <f>IF(F19=0," ",CONCATENATE(VLOOKUP(F19,Регистрация!$B$7:$N$39,3,FALSE)," ",VLOOKUP(F19,Регистрация!$B$7:$N$39,4,FALSE)))</f>
        <v xml:space="preserve"> </v>
      </c>
      <c r="H19" s="142"/>
      <c r="I19" s="270"/>
      <c r="J19" s="142"/>
      <c r="K19" s="142"/>
      <c r="L19" s="279"/>
      <c r="M19" s="142"/>
      <c r="N19" s="142"/>
      <c r="O19" s="142"/>
      <c r="P19" s="142"/>
      <c r="Q19" s="279"/>
      <c r="R19" s="289"/>
    </row>
    <row r="20" spans="1:18" s="283" customFormat="1" ht="8.25" customHeight="1">
      <c r="A20" s="272"/>
      <c r="B20" s="540"/>
      <c r="C20" s="540"/>
      <c r="D20" s="265"/>
      <c r="E20" s="270"/>
      <c r="F20" s="58"/>
      <c r="G20" s="274"/>
      <c r="H20" s="142"/>
      <c r="I20" s="270"/>
      <c r="J20" s="99"/>
      <c r="K20" s="99"/>
      <c r="L20" s="99"/>
      <c r="M20" s="142"/>
      <c r="N20" s="142"/>
      <c r="O20" s="279"/>
      <c r="P20" s="142"/>
      <c r="Q20" s="279"/>
      <c r="R20" s="289"/>
    </row>
    <row r="21" spans="1:18" s="283" customFormat="1" ht="12" customHeight="1">
      <c r="A21" s="87">
        <v>7</v>
      </c>
      <c r="B21" s="541" t="str">
        <f>IF(Регистрация!$D$6&lt;A21," ",CONCATENATE(VLOOKUP(A21,Регистрация!$B$7:$N$39,3,FALSE)," ",VLOOKUP(A21,Регистрация!$B$7:$N$39,4,FALSE)," ","(",VLOOKUP(A21,Регистрация!$B$7:$N$39,11,FALSE),")"))</f>
        <v xml:space="preserve"> </v>
      </c>
      <c r="C21" s="542"/>
      <c r="D21" s="542" t="e">
        <f>IF(Регистрация!$D$6&lt;C21," ",CONCATENATE(VLOOKUP(C21,Регистрация!$B$7:$N$39,3,FALSE)," ",VLOOKUP(C21,Регистрация!$B$7:$N$39,4,FALSE)," ","(",VLOOKUP(C21,Регистрация!$B$7:$N$39,11,FALSE),")"))</f>
        <v>#N/A</v>
      </c>
      <c r="E21" s="543"/>
      <c r="F21" s="58"/>
      <c r="G21" s="274"/>
      <c r="H21" s="142"/>
      <c r="I21" s="270"/>
      <c r="J21" s="142"/>
      <c r="K21" s="142"/>
      <c r="L21" s="142"/>
      <c r="M21" s="142"/>
      <c r="N21" s="142"/>
      <c r="O21" s="279"/>
      <c r="P21" s="142"/>
      <c r="Q21" s="279"/>
      <c r="R21" s="289"/>
    </row>
    <row r="22" spans="1:18" s="283" customFormat="1" ht="8.25" customHeight="1">
      <c r="A22" s="272"/>
      <c r="B22" s="540"/>
      <c r="C22" s="540"/>
      <c r="D22" s="265"/>
      <c r="E22" s="274"/>
      <c r="F22" s="58"/>
      <c r="G22" s="274"/>
      <c r="H22" s="279"/>
      <c r="I22" s="270"/>
      <c r="J22" s="279"/>
      <c r="K22" s="279"/>
      <c r="L22" s="279"/>
      <c r="M22" s="279"/>
      <c r="N22" s="142"/>
      <c r="O22" s="142"/>
      <c r="P22" s="142"/>
      <c r="Q22" s="279"/>
      <c r="R22" s="289"/>
    </row>
    <row r="23" spans="1:18" s="283" customFormat="1" ht="12" customHeight="1">
      <c r="A23" s="272"/>
      <c r="B23" s="540"/>
      <c r="C23" s="540"/>
      <c r="D23" s="272"/>
      <c r="E23" s="274"/>
      <c r="F23" s="59"/>
      <c r="G23" s="274"/>
      <c r="H23" s="286"/>
      <c r="I23" s="270"/>
      <c r="J23" s="55">
        <v>4</v>
      </c>
      <c r="K23" s="79" t="str">
        <f>IF(J23=0," ",CONCATENATE(VLOOKUP(J23,Регистрация!$B$7:$N$39,3,FALSE)," ",VLOOKUP(J23,Регистрация!$B$7:$N$39,4,FALSE)))</f>
        <v>Шайдулина Алина</v>
      </c>
      <c r="L23" s="286"/>
      <c r="M23" s="286"/>
      <c r="N23" s="286"/>
      <c r="O23" s="286"/>
      <c r="P23" s="286"/>
      <c r="Q23" s="286"/>
      <c r="R23" s="286"/>
    </row>
    <row r="24" spans="1:18" s="283" customFormat="1" ht="8.25" customHeight="1">
      <c r="A24" s="265"/>
      <c r="B24" s="540"/>
      <c r="C24" s="540"/>
      <c r="D24" s="272"/>
      <c r="E24" s="274"/>
      <c r="F24" s="43"/>
      <c r="G24" s="274"/>
      <c r="H24" s="84"/>
      <c r="I24" s="270"/>
      <c r="J24" s="286"/>
      <c r="K24" s="286"/>
      <c r="L24" s="286"/>
      <c r="M24" s="286"/>
      <c r="N24" s="286"/>
      <c r="O24" s="286"/>
      <c r="P24" s="286"/>
      <c r="Q24" s="286"/>
      <c r="R24" s="286"/>
    </row>
    <row r="25" spans="1:18" s="283" customFormat="1" ht="12" customHeight="1">
      <c r="A25" s="89">
        <v>2</v>
      </c>
      <c r="B25" s="541" t="str">
        <f>IF(Регистрация!$D$6&lt;A25," ",CONCATENATE(VLOOKUP(A25,Регистрация!$B$7:$N$39,3,FALSE)," ",VLOOKUP(A25,Регистрация!$B$7:$N$39,4,FALSE)," ","(",VLOOKUP(A25,Регистрация!$B$7:$N$39,11,FALSE),")"))</f>
        <v>Хохлова Элина (WSKF)</v>
      </c>
      <c r="C25" s="542"/>
      <c r="D25" s="542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43"/>
      <c r="F25" s="43"/>
      <c r="G25" s="274"/>
      <c r="H25" s="84"/>
      <c r="I25" s="270"/>
      <c r="J25" s="286"/>
      <c r="K25" s="286"/>
      <c r="L25" s="286"/>
      <c r="M25" s="286"/>
      <c r="N25" s="286"/>
      <c r="O25" s="286"/>
      <c r="P25" s="286"/>
      <c r="Q25" s="286"/>
      <c r="R25" s="286"/>
    </row>
    <row r="26" spans="1:18" s="283" customFormat="1" ht="8.25" customHeight="1">
      <c r="A26" s="265"/>
      <c r="B26" s="540"/>
      <c r="C26" s="540"/>
      <c r="D26" s="272"/>
      <c r="E26" s="270"/>
      <c r="F26" s="43"/>
      <c r="G26" s="274"/>
      <c r="H26" s="84"/>
      <c r="I26" s="270"/>
      <c r="J26" s="286"/>
      <c r="K26" s="286"/>
      <c r="L26" s="286"/>
      <c r="M26" s="286"/>
      <c r="N26" s="286"/>
      <c r="O26" s="286"/>
      <c r="P26" s="286"/>
      <c r="Q26" s="286"/>
      <c r="R26" s="286"/>
    </row>
    <row r="27" spans="1:18" s="283" customFormat="1" ht="12" customHeight="1">
      <c r="A27" s="265"/>
      <c r="B27" s="540"/>
      <c r="C27" s="540"/>
      <c r="D27" s="272"/>
      <c r="E27" s="270"/>
      <c r="F27" s="55">
        <v>10</v>
      </c>
      <c r="G27" s="79" t="str">
        <f>IF(F27=0," ",CONCATENATE(VLOOKUP(F27,Регистрация!$B$7:$N$39,3,FALSE)," ",VLOOKUP(F27,Регистрация!$B$7:$N$39,4,FALSE)))</f>
        <v xml:space="preserve"> </v>
      </c>
      <c r="H27" s="84"/>
      <c r="I27" s="270"/>
      <c r="J27" s="286"/>
      <c r="K27" s="286"/>
      <c r="L27" s="286"/>
      <c r="M27" s="286"/>
      <c r="N27" s="286"/>
      <c r="O27" s="286"/>
      <c r="P27" s="286"/>
      <c r="Q27" s="286"/>
      <c r="R27" s="286"/>
    </row>
    <row r="28" spans="1:18" s="283" customFormat="1" ht="12" customHeight="1">
      <c r="A28" s="89">
        <v>6</v>
      </c>
      <c r="B28" s="539" t="str">
        <f>IF(Регистрация!$D$6&lt;A28," ",CONCATENATE(VLOOKUP(A28,Регистрация!$B$7:$N$39,3,FALSE)," ",VLOOKUP(A28,Регистрация!$B$7:$N$39,4,FALSE)," ","(",VLOOKUP(A28,Регистрация!$B$7:$N$39,11,FALSE),")"))</f>
        <v>Павлова Мария (Политех)</v>
      </c>
      <c r="C28" s="539"/>
      <c r="D28" s="272"/>
      <c r="E28" s="273"/>
      <c r="F28" s="43"/>
      <c r="G28" s="269"/>
      <c r="H28" s="84"/>
      <c r="I28" s="270"/>
      <c r="J28" s="286"/>
      <c r="K28" s="286"/>
      <c r="L28" s="286"/>
      <c r="M28" s="286"/>
      <c r="N28" s="286"/>
      <c r="O28" s="286"/>
      <c r="P28" s="286"/>
      <c r="Q28" s="286"/>
      <c r="R28" s="286"/>
    </row>
    <row r="29" spans="1:18" s="283" customFormat="1" ht="12" customHeight="1">
      <c r="A29" s="265"/>
      <c r="B29" s="540"/>
      <c r="C29" s="540"/>
      <c r="D29" s="57">
        <v>10</v>
      </c>
      <c r="E29" s="79" t="str">
        <f>IF(D29=0," ",CONCATENATE(VLOOKUP(D29,Регистрация!$B$7:$N$39,3,FALSE)," ",VLOOKUP(D29,Регистрация!$B$7:$N$39,4,FALSE)))</f>
        <v xml:space="preserve"> </v>
      </c>
      <c r="F29" s="43"/>
      <c r="G29" s="270"/>
      <c r="H29" s="84"/>
      <c r="I29" s="270"/>
      <c r="J29" s="286"/>
      <c r="K29" s="286"/>
      <c r="L29" s="286"/>
      <c r="M29" s="286"/>
      <c r="N29" s="286"/>
      <c r="O29" s="286"/>
      <c r="P29" s="286"/>
      <c r="Q29" s="286"/>
      <c r="R29" s="286"/>
    </row>
    <row r="30" spans="1:18" s="283" customFormat="1" ht="12" customHeight="1">
      <c r="A30" s="89">
        <v>10</v>
      </c>
      <c r="B30" s="539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39"/>
      <c r="D30" s="272"/>
      <c r="E30" s="274"/>
      <c r="F30" s="43"/>
      <c r="G30" s="270"/>
      <c r="H30" s="84"/>
      <c r="I30" s="273"/>
      <c r="J30" s="286"/>
      <c r="K30" s="286"/>
      <c r="L30" s="286"/>
      <c r="M30" s="286"/>
      <c r="N30" s="286"/>
      <c r="O30" s="286"/>
      <c r="P30" s="286"/>
      <c r="Q30" s="286"/>
      <c r="R30" s="286"/>
    </row>
    <row r="31" spans="1:18" s="283" customFormat="1" ht="12" customHeight="1">
      <c r="A31" s="272"/>
      <c r="B31" s="540"/>
      <c r="C31" s="540"/>
      <c r="D31" s="272"/>
      <c r="E31" s="274"/>
      <c r="F31" s="43"/>
      <c r="G31" s="270"/>
      <c r="H31" s="55">
        <v>4</v>
      </c>
      <c r="I31" s="79" t="str">
        <f>IF(H31=0," ",CONCATENATE(VLOOKUP(H31,Регистрация!$B$7:$N$39,3,FALSE)," ",VLOOKUP(H31,Регистрация!$B$7:$N$39,4,FALSE)))</f>
        <v>Шайдулина Алина</v>
      </c>
      <c r="J31" s="286"/>
      <c r="K31" s="286"/>
      <c r="L31" s="286"/>
      <c r="M31" s="286"/>
      <c r="N31" s="286"/>
      <c r="O31" s="286"/>
      <c r="P31" s="286"/>
      <c r="Q31" s="286"/>
      <c r="R31" s="286"/>
    </row>
    <row r="32" spans="1:18" s="283" customFormat="1" ht="8.25" customHeight="1">
      <c r="A32" s="272"/>
      <c r="B32" s="540"/>
      <c r="C32" s="540"/>
      <c r="D32" s="272"/>
      <c r="E32" s="274"/>
      <c r="F32" s="43"/>
      <c r="G32" s="270"/>
      <c r="H32" s="43"/>
      <c r="I32" s="84"/>
      <c r="J32" s="286"/>
      <c r="K32" s="286"/>
      <c r="L32" s="286"/>
      <c r="M32" s="286"/>
      <c r="N32" s="286"/>
      <c r="O32" s="286"/>
      <c r="P32" s="286"/>
      <c r="Q32" s="286"/>
      <c r="R32" s="286"/>
    </row>
    <row r="33" spans="1:18" s="283" customFormat="1" ht="12" customHeight="1">
      <c r="A33" s="89">
        <v>4</v>
      </c>
      <c r="B33" s="541" t="str">
        <f>IF(Регистрация!$D$6&lt;A33," ",CONCATENATE(VLOOKUP(A33,Регистрация!$B$7:$N$39,3,FALSE)," ",VLOOKUP(A33,Регистрация!$B$7:$N$39,4,FALSE)," ","(",VLOOKUP(A33,Регистрация!$B$7:$N$39,11,FALSE),")"))</f>
        <v>Шайдулина Алина (Политех)</v>
      </c>
      <c r="C33" s="542"/>
      <c r="D33" s="542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43"/>
      <c r="F33" s="43"/>
      <c r="G33" s="270"/>
      <c r="H33" s="84"/>
      <c r="I33" s="84"/>
      <c r="J33" s="286"/>
      <c r="K33" s="286"/>
      <c r="L33" s="286"/>
      <c r="M33" s="286"/>
      <c r="N33" s="286"/>
      <c r="O33" s="286"/>
      <c r="P33" s="286"/>
      <c r="Q33" s="286"/>
      <c r="R33" s="286"/>
    </row>
    <row r="34" spans="1:18" s="283" customFormat="1" ht="8.25" customHeight="1">
      <c r="A34" s="272"/>
      <c r="B34" s="540"/>
      <c r="C34" s="540"/>
      <c r="D34" s="272"/>
      <c r="E34" s="270"/>
      <c r="F34" s="43"/>
      <c r="G34" s="273"/>
      <c r="H34" s="84"/>
      <c r="I34" s="84"/>
      <c r="J34" s="286"/>
      <c r="K34" s="286"/>
      <c r="L34" s="286"/>
      <c r="M34" s="286"/>
      <c r="N34" s="286"/>
      <c r="O34" s="286"/>
      <c r="P34" s="286"/>
      <c r="Q34" s="286"/>
      <c r="R34" s="286"/>
    </row>
    <row r="35" spans="1:18" s="283" customFormat="1" ht="12" customHeight="1">
      <c r="A35" s="272"/>
      <c r="B35" s="540"/>
      <c r="C35" s="540"/>
      <c r="D35" s="272"/>
      <c r="E35" s="270"/>
      <c r="F35" s="55">
        <v>4</v>
      </c>
      <c r="G35" s="79" t="str">
        <f>IF(F35=0," ",CONCATENATE(VLOOKUP(F35,Регистрация!$B$7:$N$39,3,FALSE)," ",VLOOKUP(F35,Регистрация!$B$7:$N$39,4,FALSE)))</f>
        <v>Шайдулина Алина</v>
      </c>
      <c r="H35" s="84"/>
      <c r="I35" s="548" t="s">
        <v>25</v>
      </c>
      <c r="J35" s="548"/>
      <c r="K35" s="548"/>
      <c r="L35" s="286"/>
      <c r="M35" s="286"/>
      <c r="N35" s="286"/>
      <c r="O35" s="286"/>
      <c r="P35" s="286"/>
      <c r="Q35" s="286"/>
      <c r="R35" s="286"/>
    </row>
    <row r="36" spans="1:18" s="283" customFormat="1" ht="8.25" customHeight="1">
      <c r="A36" s="272"/>
      <c r="B36" s="540"/>
      <c r="C36" s="540"/>
      <c r="D36" s="272"/>
      <c r="E36" s="270"/>
      <c r="F36" s="43"/>
      <c r="G36" s="84"/>
      <c r="H36" s="84"/>
      <c r="I36" s="84"/>
      <c r="J36" s="286"/>
      <c r="K36" s="286"/>
      <c r="L36" s="286"/>
      <c r="M36" s="286"/>
      <c r="N36" s="286"/>
      <c r="O36" s="286"/>
      <c r="P36" s="286"/>
      <c r="Q36" s="286"/>
      <c r="R36" s="286"/>
    </row>
    <row r="37" spans="1:18" s="283" customFormat="1" ht="12" customHeight="1">
      <c r="A37" s="87">
        <v>8</v>
      </c>
      <c r="B37" s="541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42"/>
      <c r="D37" s="542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43"/>
      <c r="F37" s="84"/>
      <c r="G37" s="84"/>
      <c r="H37" s="53">
        <f>IF(H15=0,0,IF(H15=F11,F19,F11))</f>
        <v>7</v>
      </c>
      <c r="I37" s="79" t="str">
        <f>IF(H37=0," ",CONCATENATE(VLOOKUP(H37,Регистрация!$B$7:$N$39,3,FALSE)," ",VLOOKUP(H37,Регистрация!$B$7:$N$39,4,FALSE)))</f>
        <v xml:space="preserve"> </v>
      </c>
      <c r="J37" s="142"/>
      <c r="K37" s="142"/>
      <c r="L37" s="286"/>
      <c r="M37" s="286"/>
      <c r="N37" s="286"/>
      <c r="O37" s="286"/>
      <c r="P37" s="286"/>
      <c r="Q37" s="286"/>
      <c r="R37" s="286"/>
    </row>
    <row r="38" spans="1:18" s="283" customFormat="1" ht="12" customHeight="1">
      <c r="A38" s="272"/>
      <c r="B38" s="540"/>
      <c r="C38" s="540"/>
      <c r="D38" s="142"/>
      <c r="E38" s="291"/>
      <c r="F38" s="142"/>
      <c r="G38" s="142"/>
      <c r="H38" s="256"/>
      <c r="I38" s="267"/>
      <c r="J38" s="55">
        <v>10</v>
      </c>
      <c r="K38" s="79" t="str">
        <f>IF(J38=0," ",CONCATENATE(VLOOKUP(J38,Регистрация!$B$7:$N$39,3,FALSE)," ",VLOOKUP(J38,Регистрация!$B$7:$N$39,4,FALSE)))</f>
        <v xml:space="preserve"> </v>
      </c>
      <c r="L38" s="292"/>
      <c r="M38" s="142"/>
      <c r="N38" s="142"/>
      <c r="O38" s="142"/>
      <c r="P38" s="142"/>
      <c r="Q38" s="279"/>
      <c r="R38" s="289"/>
    </row>
    <row r="39" spans="1:18" s="283" customFormat="1" ht="12" customHeight="1">
      <c r="A39" s="276"/>
      <c r="D39" s="277"/>
      <c r="E39" s="286"/>
      <c r="H39" s="53">
        <f>IF(H31=0,0,IF(H31=F27,F35,F27))</f>
        <v>10</v>
      </c>
      <c r="I39" s="79" t="str">
        <f>IF(H39=0," ",CONCATENATE(VLOOKUP(H39,Регистрация!$B$7:$N$39,3,FALSE)," ",VLOOKUP(H39,Регистрация!$B$7:$N$39,4,FALSE)))</f>
        <v xml:space="preserve"> </v>
      </c>
      <c r="J39" s="142"/>
      <c r="K39" s="279"/>
      <c r="L39" s="84"/>
      <c r="M39" s="84"/>
      <c r="N39" s="84"/>
      <c r="O39" s="84"/>
      <c r="P39" s="84"/>
      <c r="Q39" s="289"/>
      <c r="R39" s="289"/>
    </row>
    <row r="40" spans="1:18" s="283" customFormat="1" ht="12" customHeight="1">
      <c r="A40" s="549" t="s">
        <v>16</v>
      </c>
      <c r="B40" s="549"/>
      <c r="C40" s="549"/>
      <c r="D40" s="549"/>
      <c r="E40" s="549"/>
    </row>
    <row r="41" spans="1:18" s="283" customFormat="1" ht="12" customHeight="1">
      <c r="A41" s="126"/>
      <c r="B41" s="90" t="s">
        <v>1</v>
      </c>
      <c r="C41" s="293" t="s">
        <v>17</v>
      </c>
      <c r="D41" s="294"/>
      <c r="E41" s="295"/>
    </row>
    <row r="42" spans="1:18" s="283" customFormat="1" ht="13.5" customHeight="1">
      <c r="A42" s="57">
        <f>J23</f>
        <v>4</v>
      </c>
      <c r="B42" s="90">
        <v>1</v>
      </c>
      <c r="C42" s="541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>Шайдулина Алина Викторовна (Политех)</v>
      </c>
      <c r="D42" s="542"/>
      <c r="E42" s="543"/>
      <c r="F42" s="99"/>
      <c r="G42" s="296"/>
      <c r="H42" s="142"/>
      <c r="I42" s="279"/>
    </row>
    <row r="43" spans="1:18" s="283" customFormat="1" ht="13.5" customHeight="1">
      <c r="A43" s="57">
        <f>IF(J23=0,0,IF(J23=H15,H31,H15))</f>
        <v>9</v>
      </c>
      <c r="B43" s="90">
        <v>2</v>
      </c>
      <c r="C43" s="54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  ()</v>
      </c>
      <c r="D43" s="542"/>
      <c r="E43" s="543"/>
    </row>
    <row r="44" spans="1:18" s="283" customFormat="1" ht="13.5" customHeight="1">
      <c r="A44" s="57">
        <f>J38</f>
        <v>10</v>
      </c>
      <c r="B44" s="90">
        <v>3</v>
      </c>
      <c r="C44" s="54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  ()</v>
      </c>
      <c r="D44" s="542"/>
      <c r="E44" s="543"/>
    </row>
    <row r="45" spans="1:18" s="283" customFormat="1" ht="13.5" customHeight="1">
      <c r="A45" s="57">
        <f>IF(J38=0,0,IF(J38=H37,H39,H37))</f>
        <v>7</v>
      </c>
      <c r="B45" s="90">
        <v>4</v>
      </c>
      <c r="C45" s="54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  ()</v>
      </c>
      <c r="D45" s="542"/>
      <c r="E45" s="543"/>
    </row>
    <row r="46" spans="1:18" s="251" customFormat="1" ht="24" customHeight="1">
      <c r="A46" s="527" t="s">
        <v>14</v>
      </c>
      <c r="B46" s="527"/>
      <c r="C46" s="527"/>
      <c r="D46" s="276"/>
      <c r="F46" s="131"/>
      <c r="G46" s="131"/>
      <c r="H46" s="131"/>
      <c r="J46" s="251" t="str">
        <f>Регистрация!N73</f>
        <v>Цыльев В.А. С1К</v>
      </c>
    </row>
    <row r="47" spans="1:18" s="251" customFormat="1" ht="13">
      <c r="A47" s="276"/>
      <c r="D47" s="276"/>
    </row>
    <row r="48" spans="1:18" s="251" customFormat="1" ht="13">
      <c r="A48" s="527" t="s">
        <v>15</v>
      </c>
      <c r="B48" s="527"/>
      <c r="C48" s="527"/>
      <c r="D48" s="276"/>
      <c r="F48" s="131"/>
      <c r="G48" s="131"/>
      <c r="H48" s="131"/>
      <c r="J48" s="251" t="str">
        <f>Регистрация!N74</f>
        <v>Орлова Е.С 3 К</v>
      </c>
    </row>
    <row r="50" s="104" customFormat="1" ht="13"/>
    <row r="51" s="104" customFormat="1" ht="13"/>
    <row r="52" s="104" customFormat="1" ht="13"/>
    <row r="53" s="104" customFormat="1" ht="13"/>
    <row r="54" s="104" customFormat="1" ht="13"/>
    <row r="55" s="104" customFormat="1" ht="13"/>
    <row r="56" s="104" customFormat="1" ht="13"/>
    <row r="57" s="104" customFormat="1" ht="13"/>
    <row r="58" s="104" customFormat="1" ht="13"/>
    <row r="59" s="104" customFormat="1" ht="13"/>
    <row r="60" s="104" customFormat="1" ht="13"/>
    <row r="61" s="104" customFormat="1" ht="13"/>
    <row r="62" s="104" customFormat="1" ht="13"/>
    <row r="63" s="104" customFormat="1" ht="13"/>
    <row r="64" s="104" customFormat="1" ht="13"/>
    <row r="65" s="104" customFormat="1" ht="13"/>
    <row r="66" s="104" customFormat="1" ht="13"/>
  </sheetData>
  <mergeCells count="44">
    <mergeCell ref="I35:K35"/>
    <mergeCell ref="B36:C36"/>
    <mergeCell ref="A46:C46"/>
    <mergeCell ref="A48:C48"/>
    <mergeCell ref="B38:C38"/>
    <mergeCell ref="A40:E40"/>
    <mergeCell ref="C42:E42"/>
    <mergeCell ref="C43:E43"/>
    <mergeCell ref="C44:E44"/>
    <mergeCell ref="C45:E45"/>
    <mergeCell ref="B37:E37"/>
    <mergeCell ref="B32:C32"/>
    <mergeCell ref="B33:E33"/>
    <mergeCell ref="B34:C34"/>
    <mergeCell ref="B35:C35"/>
    <mergeCell ref="B26:C26"/>
    <mergeCell ref="B27:C27"/>
    <mergeCell ref="B28:C28"/>
    <mergeCell ref="B29:C29"/>
    <mergeCell ref="B30:C30"/>
    <mergeCell ref="B31:C31"/>
    <mergeCell ref="B23:C23"/>
    <mergeCell ref="B24:C24"/>
    <mergeCell ref="B15:C15"/>
    <mergeCell ref="B16:C16"/>
    <mergeCell ref="B17:E17"/>
    <mergeCell ref="B18:C18"/>
    <mergeCell ref="B19:C19"/>
    <mergeCell ref="B25:E25"/>
    <mergeCell ref="B14:C14"/>
    <mergeCell ref="A1:K1"/>
    <mergeCell ref="A3:K3"/>
    <mergeCell ref="A5:C5"/>
    <mergeCell ref="D5:G5"/>
    <mergeCell ref="A7:K7"/>
    <mergeCell ref="B8:C8"/>
    <mergeCell ref="B9:E9"/>
    <mergeCell ref="B10:C10"/>
    <mergeCell ref="B11:C11"/>
    <mergeCell ref="B12:C12"/>
    <mergeCell ref="B13:C13"/>
    <mergeCell ref="B20:C20"/>
    <mergeCell ref="B21:E21"/>
    <mergeCell ref="B22:C22"/>
  </mergeCells>
  <pageMargins left="0.51" right="0.28000000000000003" top="0.17" bottom="0.19" header="0.11" footer="0.15"/>
  <pageSetup paperSize="9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W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2.453125" style="276" bestFit="1" customWidth="1"/>
    <col min="2" max="2" width="5.7265625" style="104" bestFit="1" customWidth="1"/>
    <col min="3" max="3" width="33.81640625" style="104" customWidth="1"/>
    <col min="4" max="4" width="2.453125" style="276" bestFit="1" customWidth="1"/>
    <col min="5" max="5" width="17.54296875" style="104" customWidth="1"/>
    <col min="6" max="6" width="2" style="104" bestFit="1" customWidth="1"/>
    <col min="7" max="7" width="17.54296875" style="104" customWidth="1"/>
    <col min="8" max="8" width="2" style="104" bestFit="1" customWidth="1"/>
    <col min="9" max="9" width="17.54296875" style="104" customWidth="1"/>
    <col min="10" max="10" width="2" style="104" customWidth="1"/>
    <col min="11" max="11" width="17.54296875" style="104" customWidth="1"/>
    <col min="12" max="24" width="3.453125" style="104" customWidth="1"/>
    <col min="25" max="16384" width="9.1796875" style="104"/>
  </cols>
  <sheetData>
    <row r="1" spans="1:23" ht="14">
      <c r="A1" s="534" t="str">
        <f>Регистрация!A1</f>
        <v xml:space="preserve"> Межмуниципальные соревнования по всестилевому каратэ "Первый старт" 27 сентября 2025 г.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76"/>
      <c r="M1" s="76"/>
      <c r="N1" s="76"/>
      <c r="O1" s="76"/>
      <c r="P1" s="76"/>
      <c r="Q1" s="76"/>
      <c r="R1" s="76"/>
    </row>
    <row r="2" spans="1:23" ht="14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4">
      <c r="A3" s="535" t="str">
        <f>Регистрация!A2</f>
        <v>Вид спорта: ВСЕСТИЛЕВОЕ КАРАТЭ (номер-код вида спорта - 0900001411Я)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76"/>
      <c r="M3" s="76"/>
      <c r="N3" s="76"/>
      <c r="O3" s="76"/>
      <c r="P3" s="76"/>
      <c r="Q3" s="76"/>
      <c r="R3" s="76"/>
    </row>
    <row r="4" spans="1:23" ht="13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">
      <c r="A5" s="537" t="str">
        <f>Регистрация!A3</f>
        <v>Женщины 18 +  ОК-двоеборье</v>
      </c>
      <c r="B5" s="537"/>
      <c r="C5" s="537"/>
      <c r="D5" s="537" t="str">
        <f>Регистрация!G3</f>
        <v>г. Санкт-Петербург</v>
      </c>
      <c r="E5" s="537"/>
      <c r="F5" s="537"/>
      <c r="G5" s="537"/>
      <c r="H5" s="255"/>
      <c r="I5" s="85" t="str">
        <f>Регистрация!L3</f>
        <v>27 сентября 2025</v>
      </c>
      <c r="J5" s="77"/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13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">
      <c r="A7" s="537" t="s">
        <v>18</v>
      </c>
      <c r="B7" s="537"/>
      <c r="C7" s="537"/>
      <c r="D7" s="537"/>
      <c r="E7" s="537"/>
      <c r="F7" s="537"/>
      <c r="G7" s="537"/>
      <c r="H7" s="537"/>
      <c r="I7" s="537"/>
      <c r="J7" s="537"/>
      <c r="K7" s="537"/>
      <c r="L7" s="77"/>
      <c r="M7" s="77"/>
      <c r="N7" s="77"/>
      <c r="O7" s="77"/>
      <c r="P7" s="77"/>
      <c r="Q7" s="144"/>
      <c r="R7" s="144"/>
    </row>
    <row r="8" spans="1:23" s="261" customFormat="1" ht="14">
      <c r="A8" s="265"/>
      <c r="B8" s="540"/>
      <c r="C8" s="540"/>
      <c r="D8" s="84"/>
      <c r="E8" s="137"/>
      <c r="F8" s="108"/>
      <c r="G8" s="108"/>
      <c r="H8" s="108"/>
      <c r="I8" s="84"/>
      <c r="J8" s="84"/>
      <c r="K8" s="84"/>
      <c r="L8" s="84"/>
      <c r="M8" s="108"/>
      <c r="N8" s="108"/>
      <c r="O8" s="108"/>
      <c r="P8" s="110"/>
      <c r="Q8" s="112"/>
      <c r="R8" s="112"/>
      <c r="S8" s="260"/>
    </row>
    <row r="9" spans="1:23" s="262" customFormat="1" ht="12" customHeight="1">
      <c r="A9" s="89">
        <v>1</v>
      </c>
      <c r="B9" s="539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39"/>
      <c r="D9" s="539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39"/>
      <c r="F9" s="108"/>
      <c r="G9" s="108"/>
      <c r="H9" s="108"/>
      <c r="I9" s="105"/>
      <c r="J9" s="108"/>
      <c r="K9" s="108"/>
      <c r="L9" s="105"/>
      <c r="M9" s="108"/>
      <c r="N9" s="108"/>
      <c r="O9" s="108"/>
      <c r="P9" s="110"/>
      <c r="Q9" s="113"/>
      <c r="R9" s="113"/>
      <c r="S9" s="260"/>
    </row>
    <row r="10" spans="1:23" s="109" customFormat="1" ht="6.75" customHeight="1">
      <c r="A10" s="265"/>
      <c r="B10" s="540"/>
      <c r="C10" s="540"/>
      <c r="D10" s="265"/>
      <c r="E10" s="269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254"/>
      <c r="Q10" s="105"/>
      <c r="R10" s="105"/>
      <c r="S10" s="132"/>
    </row>
    <row r="11" spans="1:23" s="261" customFormat="1" ht="12" customHeight="1">
      <c r="A11" s="265"/>
      <c r="B11" s="540"/>
      <c r="C11" s="540"/>
      <c r="D11" s="265"/>
      <c r="E11" s="270"/>
      <c r="F11" s="55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108"/>
      <c r="L11" s="108"/>
      <c r="M11" s="108"/>
      <c r="N11" s="108"/>
      <c r="O11" s="105"/>
      <c r="P11" s="108"/>
      <c r="Q11" s="112"/>
      <c r="R11" s="112"/>
      <c r="S11" s="260"/>
    </row>
    <row r="12" spans="1:23" s="109" customFormat="1" ht="12" customHeight="1">
      <c r="A12" s="89">
        <v>5</v>
      </c>
      <c r="B12" s="539" t="str">
        <f>IF(Регистрация!$D$6&lt;A12," ",CONCATENATE(VLOOKUP(A12,Регистрация!$B$7:$N$39,3,FALSE)," ",VLOOKUP(A12,Регистрация!$B$7:$N$39,4,FALSE)," ","(",VLOOKUP(A12,Регистрация!$B$7:$N$39,11,FALSE),")"))</f>
        <v>Носкова Александра (Политех)</v>
      </c>
      <c r="C12" s="539"/>
      <c r="D12" s="265"/>
      <c r="E12" s="273"/>
      <c r="F12" s="256"/>
      <c r="G12" s="269"/>
      <c r="H12" s="108"/>
      <c r="I12" s="108"/>
      <c r="J12" s="108"/>
      <c r="K12" s="108"/>
      <c r="L12" s="108"/>
      <c r="M12" s="108"/>
      <c r="N12" s="108"/>
      <c r="O12" s="105"/>
      <c r="P12" s="254"/>
      <c r="Q12" s="105"/>
      <c r="R12" s="105"/>
      <c r="S12" s="132"/>
    </row>
    <row r="13" spans="1:23" s="261" customFormat="1" ht="12" customHeight="1">
      <c r="A13" s="265"/>
      <c r="B13" s="540"/>
      <c r="C13" s="540"/>
      <c r="D13" s="53"/>
      <c r="E13" s="79" t="str">
        <f>IF(D13=0," ",CONCATENATE(VLOOKUP(D13,Регистрация!$B$7:$N$39,3,FALSE)," ",VLOOKUP(D13,Регистрация!$B$7:$N$39,4,FALSE)))</f>
        <v xml:space="preserve"> </v>
      </c>
      <c r="F13" s="256"/>
      <c r="G13" s="270"/>
      <c r="H13" s="108"/>
      <c r="I13" s="108"/>
      <c r="J13" s="108"/>
      <c r="K13" s="108"/>
      <c r="L13" s="108"/>
      <c r="M13" s="119"/>
      <c r="N13" s="119"/>
      <c r="O13" s="119"/>
      <c r="P13" s="119"/>
      <c r="Q13" s="112"/>
      <c r="R13" s="112"/>
      <c r="S13" s="260"/>
    </row>
    <row r="14" spans="1:23" s="261" customFormat="1" ht="12" customHeight="1">
      <c r="A14" s="89">
        <v>9</v>
      </c>
      <c r="B14" s="539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39"/>
      <c r="D14" s="265"/>
      <c r="E14" s="274"/>
      <c r="F14" s="256"/>
      <c r="G14" s="270"/>
      <c r="H14" s="108"/>
      <c r="I14" s="96"/>
      <c r="J14" s="96"/>
      <c r="K14" s="96"/>
      <c r="L14" s="96"/>
      <c r="M14" s="108"/>
      <c r="N14" s="108"/>
      <c r="O14" s="108"/>
      <c r="P14" s="133"/>
      <c r="Q14" s="112"/>
      <c r="R14" s="112"/>
      <c r="S14" s="260"/>
      <c r="W14" s="263"/>
    </row>
    <row r="15" spans="1:23" ht="12" customHeight="1">
      <c r="A15" s="272"/>
      <c r="B15" s="540"/>
      <c r="C15" s="540"/>
      <c r="D15" s="272"/>
      <c r="E15" s="274"/>
      <c r="F15" s="256"/>
      <c r="G15" s="270"/>
      <c r="H15" s="55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23" ht="6.75" customHeight="1">
      <c r="A16" s="272"/>
      <c r="B16" s="540"/>
      <c r="C16" s="540"/>
      <c r="D16" s="265"/>
      <c r="E16" s="274"/>
      <c r="F16" s="256"/>
      <c r="G16" s="270"/>
      <c r="I16" s="269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2" customHeight="1">
      <c r="A17" s="89">
        <v>3</v>
      </c>
      <c r="B17" s="539" t="str">
        <f>IF(Регистрация!$D$6&lt;A17," ",CONCATENATE(VLOOKUP(A17,Регистрация!$B$7:$N$39,3,FALSE)," ",VLOOKUP(A17,Регистрация!$B$7:$N$39,4,FALSE)," ","(",VLOOKUP(A17,Регистрация!$B$7:$N$39,11,FALSE),")"))</f>
        <v>Паранина Полина (Политех)</v>
      </c>
      <c r="C17" s="539"/>
      <c r="D17" s="539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39"/>
      <c r="F17" s="256"/>
      <c r="G17" s="270"/>
      <c r="H17" s="108"/>
      <c r="I17" s="270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6.75" customHeight="1">
      <c r="A18" s="272"/>
      <c r="B18" s="540"/>
      <c r="C18" s="540"/>
      <c r="D18" s="265"/>
      <c r="E18" s="270"/>
      <c r="F18" s="256"/>
      <c r="G18" s="273"/>
      <c r="H18" s="108"/>
      <c r="I18" s="270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2" customHeight="1">
      <c r="A19" s="272"/>
      <c r="B19" s="540"/>
      <c r="C19" s="540"/>
      <c r="D19" s="265"/>
      <c r="E19" s="270"/>
      <c r="F19" s="55"/>
      <c r="G19" s="79" t="str">
        <f>IF(F19=0," ",CONCATENATE(VLOOKUP(F19,Регистрация!$B$7:$N$39,3,FALSE)," ",VLOOKUP(F19,Регистрация!$B$7:$N$39,4,FALSE)))</f>
        <v xml:space="preserve"> </v>
      </c>
      <c r="H19" s="108"/>
      <c r="I19" s="270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2" customHeight="1">
      <c r="A20" s="87">
        <v>7</v>
      </c>
      <c r="B20" s="539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39"/>
      <c r="D20" s="265"/>
      <c r="E20" s="273"/>
      <c r="F20" s="105"/>
      <c r="G20" s="274"/>
      <c r="H20" s="108"/>
      <c r="I20" s="270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2" customHeight="1">
      <c r="A21" s="272"/>
      <c r="B21" s="540"/>
      <c r="C21" s="540"/>
      <c r="D21" s="53"/>
      <c r="E21" s="79" t="str">
        <f>IF(D21=0," ",CONCATENATE(VLOOKUP(D21,Регистрация!$B$7:$N$39,3,FALSE)," ",VLOOKUP(D21,Регистрация!$B$7:$N$39,4,FALSE)))</f>
        <v xml:space="preserve"> </v>
      </c>
      <c r="F21" s="105"/>
      <c r="G21" s="274"/>
      <c r="H21" s="108"/>
      <c r="I21" s="270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12" customHeight="1">
      <c r="A22" s="87">
        <v>11</v>
      </c>
      <c r="B22" s="539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39"/>
      <c r="D22" s="265"/>
      <c r="E22" s="274"/>
      <c r="F22" s="110"/>
      <c r="G22" s="274"/>
      <c r="H22" s="110"/>
      <c r="I22" s="27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2" customHeight="1">
      <c r="A23" s="272"/>
      <c r="B23" s="540"/>
      <c r="C23" s="540"/>
      <c r="D23" s="272"/>
      <c r="E23" s="274"/>
      <c r="F23" s="77"/>
      <c r="G23" s="274"/>
      <c r="H23" s="77"/>
      <c r="I23" s="270"/>
      <c r="J23" s="55"/>
      <c r="K23" s="79" t="str">
        <f>IF(J23=0," ",CONCATENATE(VLOOKUP(J23,Регистрация!$B$7:$N$39,3,FALSE)," ",VLOOKUP(J23,Регистрация!$B$7:$N$39,4,FALSE)))</f>
        <v xml:space="preserve"> </v>
      </c>
      <c r="L23" s="77"/>
      <c r="M23" s="77"/>
      <c r="N23" s="77"/>
      <c r="O23" s="77"/>
      <c r="P23" s="77"/>
      <c r="Q23" s="77"/>
      <c r="R23" s="77"/>
    </row>
    <row r="24" spans="1:18" ht="6.75" customHeight="1">
      <c r="A24" s="265"/>
      <c r="B24" s="540"/>
      <c r="C24" s="540"/>
      <c r="D24" s="272"/>
      <c r="E24" s="274"/>
      <c r="F24" s="144"/>
      <c r="G24" s="274"/>
      <c r="H24" s="144"/>
      <c r="I24" s="270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2" customHeight="1">
      <c r="A25" s="89">
        <v>2</v>
      </c>
      <c r="B25" s="539" t="str">
        <f>IF(Регистрация!$D$6&lt;A25," ",CONCATENATE(VLOOKUP(A25,Регистрация!$B$7:$N$39,3,FALSE)," ",VLOOKUP(A25,Регистрация!$B$7:$N$39,4,FALSE)," ","(",VLOOKUP(A25,Регистрация!$B$7:$N$39,11,FALSE),")"))</f>
        <v>Хохлова Элина (WSKF)</v>
      </c>
      <c r="C25" s="539"/>
      <c r="D25" s="539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39"/>
      <c r="F25" s="144"/>
      <c r="G25" s="274"/>
      <c r="H25" s="144"/>
      <c r="I25" s="270"/>
      <c r="J25" s="77"/>
      <c r="K25" s="77"/>
      <c r="L25" s="77"/>
      <c r="M25" s="77"/>
      <c r="N25" s="77"/>
      <c r="O25" s="77"/>
      <c r="P25" s="77"/>
      <c r="Q25" s="77"/>
      <c r="R25" s="77"/>
    </row>
    <row r="26" spans="1:18" ht="6.75" customHeight="1">
      <c r="A26" s="265"/>
      <c r="B26" s="540"/>
      <c r="C26" s="540"/>
      <c r="D26" s="272"/>
      <c r="E26" s="270"/>
      <c r="F26" s="144"/>
      <c r="G26" s="274"/>
      <c r="H26" s="144"/>
      <c r="I26" s="270"/>
      <c r="J26" s="77"/>
      <c r="K26" s="77"/>
      <c r="L26" s="77"/>
      <c r="M26" s="77"/>
      <c r="N26" s="77"/>
      <c r="O26" s="77"/>
      <c r="P26" s="77"/>
      <c r="Q26" s="77"/>
      <c r="R26" s="77"/>
    </row>
    <row r="27" spans="1:18" ht="12" customHeight="1">
      <c r="A27" s="265"/>
      <c r="B27" s="540"/>
      <c r="C27" s="540"/>
      <c r="D27" s="272"/>
      <c r="E27" s="270"/>
      <c r="F27" s="55"/>
      <c r="G27" s="79" t="str">
        <f>IF(F27=0," ",CONCATENATE(VLOOKUP(F27,Регистрация!$B$7:$N$39,3,FALSE)," ",VLOOKUP(F27,Регистрация!$B$7:$N$39,4,FALSE)))</f>
        <v xml:space="preserve"> </v>
      </c>
      <c r="H27" s="144"/>
      <c r="I27" s="270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12" customHeight="1">
      <c r="A28" s="89">
        <v>6</v>
      </c>
      <c r="B28" s="539" t="str">
        <f>IF(Регистрация!$D$6&lt;A28," ",CONCATENATE(VLOOKUP(A28,Регистрация!$B$7:$N$39,3,FALSE)," ",VLOOKUP(A28,Регистрация!$B$7:$N$39,4,FALSE)," ","(",VLOOKUP(A28,Регистрация!$B$7:$N$39,11,FALSE),")"))</f>
        <v>Павлова Мария (Политех)</v>
      </c>
      <c r="C28" s="539"/>
      <c r="D28" s="272"/>
      <c r="E28" s="273"/>
      <c r="F28" s="144"/>
      <c r="G28" s="269"/>
      <c r="H28" s="144"/>
      <c r="I28" s="270"/>
      <c r="J28" s="77"/>
      <c r="K28" s="77"/>
      <c r="L28" s="77"/>
      <c r="M28" s="77"/>
      <c r="N28" s="77"/>
      <c r="O28" s="77"/>
      <c r="P28" s="77"/>
      <c r="Q28" s="77"/>
      <c r="R28" s="77"/>
    </row>
    <row r="29" spans="1:18" ht="12" customHeight="1">
      <c r="A29" s="265"/>
      <c r="B29" s="540"/>
      <c r="C29" s="540"/>
      <c r="D29" s="57"/>
      <c r="E29" s="79" t="str">
        <f>IF(D29=0," ",CONCATENATE(VLOOKUP(D29,Регистрация!$B$7:$N$39,3,FALSE)," ",VLOOKUP(D29,Регистрация!$B$7:$N$39,4,FALSE)))</f>
        <v xml:space="preserve"> </v>
      </c>
      <c r="F29" s="144"/>
      <c r="G29" s="270"/>
      <c r="H29" s="144"/>
      <c r="I29" s="270"/>
      <c r="J29" s="77"/>
      <c r="K29" s="77"/>
      <c r="L29" s="77"/>
      <c r="M29" s="77"/>
      <c r="N29" s="77"/>
      <c r="O29" s="77"/>
      <c r="P29" s="77"/>
      <c r="Q29" s="77"/>
      <c r="R29" s="77"/>
    </row>
    <row r="30" spans="1:18" ht="12" customHeight="1">
      <c r="A30" s="89">
        <v>10</v>
      </c>
      <c r="B30" s="539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39"/>
      <c r="D30" s="272"/>
      <c r="E30" s="274"/>
      <c r="F30" s="144"/>
      <c r="G30" s="270"/>
      <c r="H30" s="144"/>
      <c r="I30" s="273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2" customHeight="1">
      <c r="A31" s="272"/>
      <c r="B31" s="540"/>
      <c r="C31" s="540"/>
      <c r="D31" s="272"/>
      <c r="E31" s="274"/>
      <c r="F31" s="144"/>
      <c r="G31" s="270"/>
      <c r="H31" s="55"/>
      <c r="I31" s="79" t="str">
        <f>IF(H31=0," ",CONCATENATE(VLOOKUP(H31,Регистрация!$B$7:$N$39,3,FALSE)," ",VLOOKUP(H31,Регистрация!$B$7:$N$39,4,FALSE)))</f>
        <v xml:space="preserve"> </v>
      </c>
      <c r="J31" s="77"/>
      <c r="K31" s="77"/>
      <c r="L31" s="77"/>
      <c r="M31" s="77"/>
      <c r="N31" s="77"/>
      <c r="O31" s="77"/>
      <c r="P31" s="77"/>
      <c r="Q31" s="77"/>
      <c r="R31" s="77"/>
    </row>
    <row r="32" spans="1:18" ht="6.75" customHeight="1">
      <c r="A32" s="272"/>
      <c r="B32" s="540"/>
      <c r="C32" s="540"/>
      <c r="D32" s="272"/>
      <c r="E32" s="274"/>
      <c r="F32" s="144"/>
      <c r="G32" s="270"/>
      <c r="H32" s="144"/>
      <c r="I32" s="144"/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12" customHeight="1">
      <c r="A33" s="89">
        <v>4</v>
      </c>
      <c r="B33" s="539" t="str">
        <f>IF(Регистрация!$D$6&lt;A33," ",CONCATENATE(VLOOKUP(A33,Регистрация!$B$7:$N$39,3,FALSE)," ",VLOOKUP(A33,Регистрация!$B$7:$N$39,4,FALSE)," ","(",VLOOKUP(A33,Регистрация!$B$7:$N$39,11,FALSE),")"))</f>
        <v>Шайдулина Алина (Политех)</v>
      </c>
      <c r="C33" s="539"/>
      <c r="D33" s="539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39"/>
      <c r="F33" s="144"/>
      <c r="G33" s="270"/>
      <c r="H33" s="144"/>
      <c r="I33" s="144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6.75" customHeight="1">
      <c r="A34" s="272"/>
      <c r="B34" s="540"/>
      <c r="C34" s="540"/>
      <c r="D34" s="272"/>
      <c r="E34" s="270"/>
      <c r="F34" s="144"/>
      <c r="G34" s="273"/>
      <c r="H34" s="144"/>
      <c r="I34" s="144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12" customHeight="1">
      <c r="A35" s="272"/>
      <c r="B35" s="540"/>
      <c r="C35" s="540"/>
      <c r="D35" s="272"/>
      <c r="E35" s="270"/>
      <c r="F35" s="55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544" t="s">
        <v>25</v>
      </c>
      <c r="J35" s="544"/>
      <c r="K35" s="544"/>
      <c r="L35" s="77"/>
      <c r="M35" s="77"/>
      <c r="N35" s="77"/>
      <c r="O35" s="77"/>
      <c r="P35" s="77"/>
      <c r="Q35" s="77"/>
      <c r="R35" s="77"/>
    </row>
    <row r="36" spans="1:18" ht="6.75" customHeight="1">
      <c r="A36" s="272"/>
      <c r="B36" s="540"/>
      <c r="C36" s="540"/>
      <c r="D36" s="272"/>
      <c r="E36" s="270"/>
      <c r="F36" s="144"/>
      <c r="G36" s="144"/>
      <c r="H36" s="144"/>
      <c r="I36" s="144"/>
      <c r="J36" s="77"/>
      <c r="K36" s="77"/>
      <c r="L36" s="77"/>
      <c r="M36" s="77"/>
      <c r="N36" s="77"/>
      <c r="O36" s="77"/>
      <c r="P36" s="77"/>
      <c r="Q36" s="77"/>
      <c r="R36" s="77"/>
    </row>
    <row r="37" spans="1:18" ht="12" customHeight="1">
      <c r="A37" s="87">
        <v>8</v>
      </c>
      <c r="B37" s="539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39"/>
      <c r="D37" s="539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39"/>
      <c r="F37" s="144"/>
      <c r="G37" s="144"/>
      <c r="H37" s="53">
        <f>IF(H15=0,0,IF(H15=F11,F19,F11))</f>
        <v>0</v>
      </c>
      <c r="I37" s="79" t="str">
        <f>IF(H37=0," ",CONCATENATE(VLOOKUP(H37,Регистрация!$B$7:$N$39,3,FALSE)," ",VLOOKUP(H37,Регистрация!$B$7:$N$39,4,FALSE)))</f>
        <v xml:space="preserve"> </v>
      </c>
      <c r="J37" s="108"/>
      <c r="K37" s="108"/>
      <c r="L37" s="77"/>
      <c r="M37" s="77"/>
      <c r="N37" s="77"/>
      <c r="O37" s="77"/>
      <c r="P37" s="77"/>
      <c r="Q37" s="77"/>
      <c r="R37" s="77"/>
    </row>
    <row r="38" spans="1:18" ht="12" customHeight="1">
      <c r="A38" s="272"/>
      <c r="B38" s="540"/>
      <c r="C38" s="540"/>
      <c r="D38" s="142"/>
      <c r="E38" s="297"/>
      <c r="F38" s="254"/>
      <c r="G38" s="254"/>
      <c r="H38" s="256"/>
      <c r="I38" s="267"/>
      <c r="J38" s="55"/>
      <c r="K38" s="79" t="str">
        <f>IF(J38=0," ",CONCATENATE(VLOOKUP(J38,Регистрация!$B$7:$N$39,3,FALSE)," ",VLOOKUP(J38,Регистрация!$B$7:$N$39,4,FALSE)))</f>
        <v xml:space="preserve"> </v>
      </c>
      <c r="L38" s="127"/>
      <c r="M38" s="254"/>
      <c r="N38" s="254"/>
      <c r="O38" s="254"/>
      <c r="P38" s="254"/>
      <c r="Q38" s="110"/>
      <c r="R38" s="122"/>
    </row>
    <row r="39" spans="1:18" ht="12" customHeight="1">
      <c r="D39" s="277"/>
      <c r="E39" s="128"/>
      <c r="H39" s="53">
        <f>IF(H31=0,0,IF(H31=F27,F35,F27))</f>
        <v>0</v>
      </c>
      <c r="I39" s="79" t="str">
        <f>IF(H39=0," ",CONCATENATE(VLOOKUP(H39,Регистрация!$B$7:$N$39,3,FALSE)," ",VLOOKUP(H39,Регистрация!$B$7:$N$39,4,FALSE)))</f>
        <v xml:space="preserve"> </v>
      </c>
      <c r="J39" s="108"/>
      <c r="K39" s="105"/>
      <c r="L39" s="129"/>
      <c r="M39" s="129"/>
      <c r="N39" s="129"/>
      <c r="O39" s="129"/>
      <c r="P39" s="129"/>
      <c r="Q39" s="122"/>
      <c r="R39" s="122"/>
    </row>
    <row r="40" spans="1:18" ht="12" customHeight="1">
      <c r="A40" s="526" t="s">
        <v>16</v>
      </c>
      <c r="B40" s="526"/>
      <c r="C40" s="526"/>
      <c r="D40" s="526"/>
      <c r="E40" s="526"/>
    </row>
    <row r="41" spans="1:18" ht="12" customHeight="1">
      <c r="A41" s="126"/>
      <c r="B41" s="298" t="s">
        <v>1</v>
      </c>
      <c r="C41" s="278" t="s">
        <v>17</v>
      </c>
      <c r="D41" s="252"/>
      <c r="E41" s="253"/>
    </row>
    <row r="42" spans="1:18" ht="12.75" customHeight="1">
      <c r="A42" s="57">
        <f>J23</f>
        <v>0</v>
      </c>
      <c r="B42" s="88">
        <v>1</v>
      </c>
      <c r="C42" s="545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46"/>
      <c r="E42" s="547"/>
      <c r="F42" s="99"/>
      <c r="G42" s="111"/>
      <c r="H42" s="108"/>
      <c r="I42" s="105"/>
    </row>
    <row r="43" spans="1:18" ht="12.75" customHeight="1">
      <c r="A43" s="57">
        <f>IF(J23=0,0,IF(J23=H15,H31,H15))</f>
        <v>0</v>
      </c>
      <c r="B43" s="88">
        <v>2</v>
      </c>
      <c r="C43" s="545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6"/>
      <c r="E43" s="547"/>
    </row>
    <row r="44" spans="1:18" ht="12.75" customHeight="1">
      <c r="A44" s="57">
        <f>J38</f>
        <v>0</v>
      </c>
      <c r="B44" s="88">
        <v>3</v>
      </c>
      <c r="C44" s="545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6"/>
      <c r="E44" s="547"/>
    </row>
    <row r="45" spans="1:18" ht="12.75" customHeight="1">
      <c r="A45" s="57">
        <f>IF(J38=0,0,IF(J38=H37,H39,H37))</f>
        <v>0</v>
      </c>
      <c r="B45" s="88">
        <v>4</v>
      </c>
      <c r="C45" s="545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6"/>
      <c r="E45" s="547"/>
    </row>
    <row r="46" spans="1:18" s="251" customFormat="1" ht="24.75" customHeight="1">
      <c r="A46" s="527" t="s">
        <v>14</v>
      </c>
      <c r="B46" s="527"/>
      <c r="C46" s="527"/>
      <c r="D46" s="276"/>
      <c r="F46" s="131"/>
      <c r="G46" s="131"/>
      <c r="H46" s="131"/>
      <c r="J46" s="251" t="str">
        <f>Регистрация!N73</f>
        <v>Цыльев В.А. С1К</v>
      </c>
    </row>
    <row r="47" spans="1:18" s="251" customFormat="1" ht="13">
      <c r="A47" s="276"/>
      <c r="D47" s="276"/>
    </row>
    <row r="48" spans="1:18" s="251" customFormat="1" ht="13">
      <c r="A48" s="527" t="s">
        <v>15</v>
      </c>
      <c r="B48" s="527"/>
      <c r="C48" s="527"/>
      <c r="D48" s="276"/>
      <c r="F48" s="131"/>
      <c r="G48" s="131"/>
      <c r="H48" s="131"/>
      <c r="J48" s="251" t="str">
        <f>Регистрация!N74</f>
        <v>Орлова Е.С 3 К</v>
      </c>
    </row>
    <row r="50" s="104" customFormat="1" ht="13"/>
    <row r="51" s="104" customFormat="1" ht="13"/>
    <row r="52" s="104" customFormat="1" ht="13"/>
    <row r="53" s="104" customFormat="1" ht="13"/>
    <row r="54" s="104" customFormat="1" ht="13"/>
    <row r="55" s="104" customFormat="1" ht="13"/>
    <row r="56" s="104" customFormat="1" ht="13"/>
    <row r="57" s="104" customFormat="1" ht="13"/>
    <row r="58" s="104" customFormat="1" ht="13"/>
    <row r="59" s="104" customFormat="1" ht="13"/>
    <row r="60" s="104" customFormat="1" ht="13"/>
    <row r="61" s="104" customFormat="1" ht="13"/>
    <row r="62" s="104" customFormat="1" ht="13"/>
    <row r="63" s="104" customFormat="1" ht="13"/>
    <row r="64" s="104" customFormat="1" ht="13"/>
    <row r="65" s="104" customFormat="1" ht="13"/>
    <row r="66" s="104" customFormat="1" ht="13"/>
  </sheetData>
  <mergeCells count="44">
    <mergeCell ref="I35:K35"/>
    <mergeCell ref="B36:C36"/>
    <mergeCell ref="A46:C46"/>
    <mergeCell ref="A48:C48"/>
    <mergeCell ref="B38:C38"/>
    <mergeCell ref="A40:E40"/>
    <mergeCell ref="C42:E42"/>
    <mergeCell ref="C43:E43"/>
    <mergeCell ref="C44:E44"/>
    <mergeCell ref="C45:E45"/>
    <mergeCell ref="B37:E37"/>
    <mergeCell ref="B32:C32"/>
    <mergeCell ref="B33:E33"/>
    <mergeCell ref="B34:C34"/>
    <mergeCell ref="B35:C35"/>
    <mergeCell ref="B26:C26"/>
    <mergeCell ref="B27:C27"/>
    <mergeCell ref="B28:C28"/>
    <mergeCell ref="B29:C29"/>
    <mergeCell ref="B30:C30"/>
    <mergeCell ref="B31:C31"/>
    <mergeCell ref="B23:C23"/>
    <mergeCell ref="B24:C24"/>
    <mergeCell ref="B15:C15"/>
    <mergeCell ref="B16:C16"/>
    <mergeCell ref="B17:E17"/>
    <mergeCell ref="B18:C18"/>
    <mergeCell ref="B19:C19"/>
    <mergeCell ref="B25:E25"/>
    <mergeCell ref="B14:C14"/>
    <mergeCell ref="A1:K1"/>
    <mergeCell ref="A3:K3"/>
    <mergeCell ref="A5:C5"/>
    <mergeCell ref="D5:G5"/>
    <mergeCell ref="A7:K7"/>
    <mergeCell ref="B8:C8"/>
    <mergeCell ref="B9:E9"/>
    <mergeCell ref="B10:C10"/>
    <mergeCell ref="B11:C11"/>
    <mergeCell ref="B12:C12"/>
    <mergeCell ref="B13:C13"/>
    <mergeCell ref="B20:C20"/>
    <mergeCell ref="B21:C21"/>
    <mergeCell ref="B22:C22"/>
  </mergeCells>
  <pageMargins left="0.42" right="0.23" top="0.17" bottom="0.22" header="0.11" footer="0.15"/>
  <pageSetup paperSize="9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W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2.453125" style="276" bestFit="1" customWidth="1"/>
    <col min="2" max="2" width="5.7265625" style="104" bestFit="1" customWidth="1"/>
    <col min="3" max="3" width="33.81640625" style="104" customWidth="1"/>
    <col min="4" max="4" width="2" style="276" bestFit="1" customWidth="1"/>
    <col min="5" max="5" width="17.54296875" style="104" customWidth="1"/>
    <col min="6" max="6" width="2" style="104" bestFit="1" customWidth="1"/>
    <col min="7" max="7" width="17.54296875" style="104" customWidth="1"/>
    <col min="8" max="8" width="2.26953125" style="104" customWidth="1"/>
    <col min="9" max="9" width="17.54296875" style="104" customWidth="1"/>
    <col min="10" max="10" width="2" style="104" customWidth="1"/>
    <col min="11" max="11" width="17.54296875" style="104" customWidth="1"/>
    <col min="12" max="24" width="3.453125" style="104" customWidth="1"/>
    <col min="25" max="16384" width="9.1796875" style="104"/>
  </cols>
  <sheetData>
    <row r="1" spans="1:23" ht="14">
      <c r="A1" s="534" t="str">
        <f>Регистрация!A1</f>
        <v xml:space="preserve"> Межмуниципальные соревнования по всестилевому каратэ "Первый старт" 27 сентября 2025 г.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76"/>
      <c r="M1" s="76"/>
      <c r="N1" s="76"/>
      <c r="O1" s="76"/>
      <c r="P1" s="76"/>
      <c r="Q1" s="76"/>
      <c r="R1" s="76"/>
    </row>
    <row r="2" spans="1:23" ht="14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4">
      <c r="A3" s="535" t="str">
        <f>Регистрация!A2</f>
        <v>Вид спорта: ВСЕСТИЛЕВОЕ КАРАТЭ (номер-код вида спорта - 0900001411Я)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76"/>
      <c r="M3" s="76"/>
      <c r="N3" s="76"/>
      <c r="O3" s="76"/>
      <c r="P3" s="76"/>
      <c r="Q3" s="76"/>
      <c r="R3" s="76"/>
    </row>
    <row r="4" spans="1:23" ht="13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">
      <c r="A5" s="537" t="str">
        <f>Регистрация!A3</f>
        <v>Женщины 18 +  ОК-двоеборье</v>
      </c>
      <c r="B5" s="537"/>
      <c r="C5" s="537"/>
      <c r="D5" s="537" t="str">
        <f>Регистрация!G3</f>
        <v>г. Санкт-Петербург</v>
      </c>
      <c r="E5" s="537"/>
      <c r="F5" s="537"/>
      <c r="G5" s="537"/>
      <c r="H5" s="255"/>
      <c r="I5" s="85" t="str">
        <f>Регистрация!L3</f>
        <v>27 сентября 2025</v>
      </c>
      <c r="J5" s="77"/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13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">
      <c r="A7" s="537" t="s">
        <v>18</v>
      </c>
      <c r="B7" s="537"/>
      <c r="C7" s="537"/>
      <c r="D7" s="537"/>
      <c r="E7" s="537"/>
      <c r="F7" s="537"/>
      <c r="G7" s="537"/>
      <c r="H7" s="537"/>
      <c r="I7" s="537"/>
      <c r="J7" s="537"/>
      <c r="K7" s="537"/>
      <c r="L7" s="77"/>
      <c r="M7" s="77"/>
      <c r="N7" s="77"/>
      <c r="O7" s="77"/>
      <c r="P7" s="77"/>
      <c r="Q7" s="144"/>
      <c r="R7" s="144"/>
    </row>
    <row r="8" spans="1:23" s="261" customFormat="1" ht="12" customHeight="1">
      <c r="A8" s="265"/>
      <c r="B8" s="540"/>
      <c r="C8" s="540"/>
      <c r="D8" s="84"/>
      <c r="E8" s="137"/>
      <c r="F8" s="108"/>
      <c r="G8" s="108"/>
      <c r="H8" s="108"/>
      <c r="I8" s="84"/>
      <c r="J8" s="84"/>
      <c r="K8" s="84"/>
      <c r="L8" s="84"/>
      <c r="M8" s="108"/>
      <c r="N8" s="108"/>
      <c r="O8" s="108"/>
      <c r="P8" s="110"/>
      <c r="Q8" s="112"/>
      <c r="R8" s="112"/>
      <c r="S8" s="260"/>
    </row>
    <row r="9" spans="1:23" s="262" customFormat="1" ht="12" customHeight="1">
      <c r="A9" s="89">
        <v>1</v>
      </c>
      <c r="B9" s="539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39"/>
      <c r="D9" s="539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39"/>
      <c r="F9" s="108"/>
      <c r="G9" s="108"/>
      <c r="H9" s="108"/>
      <c r="I9" s="105"/>
      <c r="J9" s="108"/>
      <c r="K9" s="108"/>
      <c r="L9" s="105"/>
      <c r="M9" s="108"/>
      <c r="N9" s="108"/>
      <c r="O9" s="108"/>
      <c r="P9" s="110"/>
      <c r="Q9" s="113"/>
      <c r="R9" s="113"/>
      <c r="S9" s="260"/>
    </row>
    <row r="10" spans="1:23" s="109" customFormat="1" ht="7.5" customHeight="1">
      <c r="A10" s="265"/>
      <c r="B10" s="540"/>
      <c r="C10" s="540"/>
      <c r="D10" s="265"/>
      <c r="E10" s="270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254"/>
      <c r="Q10" s="105"/>
      <c r="R10" s="105"/>
      <c r="S10" s="132"/>
    </row>
    <row r="11" spans="1:23" s="261" customFormat="1" ht="12" customHeight="1">
      <c r="A11" s="265"/>
      <c r="B11" s="540"/>
      <c r="C11" s="540"/>
      <c r="D11" s="265"/>
      <c r="E11" s="270"/>
      <c r="F11" s="55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108"/>
      <c r="L11" s="108"/>
      <c r="M11" s="108"/>
      <c r="N11" s="108"/>
      <c r="O11" s="105"/>
      <c r="P11" s="108"/>
      <c r="Q11" s="112"/>
      <c r="R11" s="112"/>
      <c r="S11" s="260"/>
    </row>
    <row r="12" spans="1:23" s="109" customFormat="1" ht="12" customHeight="1">
      <c r="A12" s="89">
        <v>5</v>
      </c>
      <c r="B12" s="539" t="str">
        <f>IF(Регистрация!$D$6&lt;A12," ",CONCATENATE(VLOOKUP(A12,Регистрация!$B$7:$N$39,3,FALSE)," ",VLOOKUP(A12,Регистрация!$B$7:$N$39,4,FALSE)," ","(",VLOOKUP(A12,Регистрация!$B$7:$N$39,11,FALSE),")"))</f>
        <v>Носкова Александра (Политех)</v>
      </c>
      <c r="C12" s="539"/>
      <c r="D12" s="265"/>
      <c r="E12" s="273"/>
      <c r="F12" s="99"/>
      <c r="G12" s="269"/>
      <c r="H12" s="108"/>
      <c r="I12" s="108"/>
      <c r="J12" s="108"/>
      <c r="K12" s="108"/>
      <c r="L12" s="108"/>
      <c r="M12" s="108"/>
      <c r="N12" s="108"/>
      <c r="O12" s="105"/>
      <c r="P12" s="254"/>
      <c r="Q12" s="105"/>
      <c r="R12" s="105"/>
      <c r="S12" s="132"/>
    </row>
    <row r="13" spans="1:23" s="261" customFormat="1" ht="12" customHeight="1">
      <c r="A13" s="265"/>
      <c r="B13" s="540"/>
      <c r="C13" s="540"/>
      <c r="D13" s="53"/>
      <c r="E13" s="79" t="str">
        <f>IF(D13=0," ",CONCATENATE(VLOOKUP(D13,Регистрация!$B$7:$N$39,3,FALSE)," ",VLOOKUP(D13,Регистрация!$B$7:$N$39,4,FALSE)))</f>
        <v xml:space="preserve"> </v>
      </c>
      <c r="F13" s="99"/>
      <c r="G13" s="270"/>
      <c r="H13" s="108"/>
      <c r="I13" s="108"/>
      <c r="J13" s="108"/>
      <c r="K13" s="108"/>
      <c r="L13" s="108"/>
      <c r="M13" s="119"/>
      <c r="N13" s="119"/>
      <c r="O13" s="119"/>
      <c r="P13" s="119"/>
      <c r="Q13" s="112"/>
      <c r="R13" s="112"/>
      <c r="S13" s="260"/>
    </row>
    <row r="14" spans="1:23" s="261" customFormat="1" ht="12" customHeight="1">
      <c r="A14" s="89">
        <v>9</v>
      </c>
      <c r="B14" s="539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39"/>
      <c r="D14" s="265"/>
      <c r="E14" s="274"/>
      <c r="F14" s="99"/>
      <c r="G14" s="270"/>
      <c r="H14" s="108"/>
      <c r="I14" s="96"/>
      <c r="J14" s="96"/>
      <c r="K14" s="96"/>
      <c r="L14" s="96"/>
      <c r="M14" s="108"/>
      <c r="N14" s="108"/>
      <c r="O14" s="108"/>
      <c r="P14" s="133"/>
      <c r="Q14" s="112"/>
      <c r="R14" s="112"/>
      <c r="S14" s="260"/>
      <c r="W14" s="263"/>
    </row>
    <row r="15" spans="1:23" ht="12" customHeight="1">
      <c r="A15" s="272"/>
      <c r="B15" s="540"/>
      <c r="C15" s="540"/>
      <c r="D15" s="272"/>
      <c r="E15" s="274"/>
      <c r="F15" s="99"/>
      <c r="G15" s="270"/>
      <c r="H15" s="55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23" ht="7.5" customHeight="1">
      <c r="A16" s="272"/>
      <c r="B16" s="540"/>
      <c r="C16" s="540"/>
      <c r="D16" s="265"/>
      <c r="E16" s="274"/>
      <c r="F16" s="99"/>
      <c r="G16" s="270"/>
      <c r="I16" s="269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2" customHeight="1">
      <c r="A17" s="89">
        <v>3</v>
      </c>
      <c r="B17" s="539" t="str">
        <f>IF(Регистрация!$D$6&lt;A17," ",CONCATENATE(VLOOKUP(A17,Регистрация!$B$7:$N$39,3,FALSE)," ",VLOOKUP(A17,Регистрация!$B$7:$N$39,4,FALSE)," ","(",VLOOKUP(A17,Регистрация!$B$7:$N$39,11,FALSE),")"))</f>
        <v>Паранина Полина (Политех)</v>
      </c>
      <c r="C17" s="539"/>
      <c r="D17" s="539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39"/>
      <c r="F17" s="99"/>
      <c r="G17" s="270"/>
      <c r="H17" s="108"/>
      <c r="I17" s="270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7.5" customHeight="1">
      <c r="A18" s="272"/>
      <c r="B18" s="540"/>
      <c r="C18" s="540"/>
      <c r="D18" s="265"/>
      <c r="E18" s="270"/>
      <c r="F18" s="99"/>
      <c r="G18" s="273"/>
      <c r="H18" s="108"/>
      <c r="I18" s="270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2" customHeight="1">
      <c r="A19" s="272"/>
      <c r="B19" s="540"/>
      <c r="C19" s="540"/>
      <c r="D19" s="265"/>
      <c r="E19" s="270"/>
      <c r="F19" s="55"/>
      <c r="G19" s="79" t="str">
        <f>IF(F19=0," ",CONCATENATE(VLOOKUP(F19,Регистрация!$B$7:$N$39,3,FALSE)," ",VLOOKUP(F19,Регистрация!$B$7:$N$39,4,FALSE)))</f>
        <v xml:space="preserve"> </v>
      </c>
      <c r="H19" s="108"/>
      <c r="I19" s="270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2" customHeight="1">
      <c r="A20" s="87">
        <v>7</v>
      </c>
      <c r="B20" s="539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39"/>
      <c r="D20" s="265"/>
      <c r="E20" s="273"/>
      <c r="F20" s="105"/>
      <c r="G20" s="274"/>
      <c r="H20" s="108"/>
      <c r="I20" s="270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2" customHeight="1">
      <c r="A21" s="272"/>
      <c r="B21" s="540"/>
      <c r="C21" s="540"/>
      <c r="D21" s="53"/>
      <c r="E21" s="79" t="str">
        <f>IF(D21=0," ",CONCATENATE(VLOOKUP(D21,Регистрация!$B$7:$N$39,3,FALSE)," ",VLOOKUP(D21,Регистрация!$B$7:$N$39,4,FALSE)))</f>
        <v xml:space="preserve"> </v>
      </c>
      <c r="F21" s="105"/>
      <c r="G21" s="274"/>
      <c r="H21" s="108"/>
      <c r="I21" s="270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12" customHeight="1">
      <c r="A22" s="87">
        <v>11</v>
      </c>
      <c r="B22" s="539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39"/>
      <c r="D22" s="265"/>
      <c r="E22" s="274"/>
      <c r="F22" s="110"/>
      <c r="G22" s="274"/>
      <c r="H22" s="110"/>
      <c r="I22" s="27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2" customHeight="1">
      <c r="A23" s="272"/>
      <c r="B23" s="540"/>
      <c r="C23" s="540"/>
      <c r="D23" s="272"/>
      <c r="E23" s="274"/>
      <c r="F23" s="77"/>
      <c r="G23" s="274"/>
      <c r="H23" s="77"/>
      <c r="I23" s="270"/>
      <c r="J23" s="55"/>
      <c r="K23" s="79" t="str">
        <f>IF(J23=0," ",CONCATENATE(VLOOKUP(J23,Регистрация!$B$7:$N$39,3,FALSE)," ",VLOOKUP(J23,Регистрация!$B$7:$N$39,4,FALSE)))</f>
        <v xml:space="preserve"> </v>
      </c>
      <c r="L23" s="77"/>
      <c r="M23" s="77"/>
      <c r="N23" s="77"/>
      <c r="O23" s="77"/>
      <c r="P23" s="77"/>
      <c r="Q23" s="77"/>
      <c r="R23" s="77"/>
    </row>
    <row r="24" spans="1:18" ht="7.5" customHeight="1">
      <c r="A24" s="265"/>
      <c r="B24" s="540"/>
      <c r="C24" s="540"/>
      <c r="D24" s="272"/>
      <c r="E24" s="274"/>
      <c r="F24" s="144"/>
      <c r="G24" s="274"/>
      <c r="H24" s="144"/>
      <c r="I24" s="270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2" customHeight="1">
      <c r="A25" s="89">
        <v>2</v>
      </c>
      <c r="B25" s="539" t="str">
        <f>IF(Регистрация!$D$6&lt;A25," ",CONCATENATE(VLOOKUP(A25,Регистрация!$B$7:$N$39,3,FALSE)," ",VLOOKUP(A25,Регистрация!$B$7:$N$39,4,FALSE)," ","(",VLOOKUP(A25,Регистрация!$B$7:$N$39,11,FALSE),")"))</f>
        <v>Хохлова Элина (WSKF)</v>
      </c>
      <c r="C25" s="539"/>
      <c r="D25" s="539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39"/>
      <c r="F25" s="144"/>
      <c r="G25" s="274"/>
      <c r="H25" s="144"/>
      <c r="I25" s="270"/>
      <c r="J25" s="77"/>
      <c r="K25" s="77"/>
      <c r="L25" s="77"/>
      <c r="M25" s="77"/>
      <c r="N25" s="77"/>
      <c r="O25" s="77"/>
      <c r="P25" s="77"/>
      <c r="Q25" s="77"/>
      <c r="R25" s="77"/>
    </row>
    <row r="26" spans="1:18" ht="7.5" customHeight="1">
      <c r="A26" s="265"/>
      <c r="B26" s="540"/>
      <c r="C26" s="540"/>
      <c r="D26" s="272"/>
      <c r="E26" s="270"/>
      <c r="F26" s="144"/>
      <c r="G26" s="274"/>
      <c r="H26" s="144"/>
      <c r="I26" s="270"/>
      <c r="J26" s="77"/>
      <c r="K26" s="77"/>
      <c r="L26" s="77"/>
      <c r="M26" s="77"/>
      <c r="N26" s="77"/>
      <c r="O26" s="77"/>
      <c r="P26" s="77"/>
      <c r="Q26" s="77"/>
      <c r="R26" s="77"/>
    </row>
    <row r="27" spans="1:18" ht="12" customHeight="1">
      <c r="A27" s="265"/>
      <c r="B27" s="540"/>
      <c r="C27" s="540"/>
      <c r="D27" s="272"/>
      <c r="E27" s="270"/>
      <c r="F27" s="55"/>
      <c r="G27" s="79" t="str">
        <f>IF(F27=0," ",CONCATENATE(VLOOKUP(F27,Регистрация!$B$7:$N$39,3,FALSE)," ",VLOOKUP(F27,Регистрация!$B$7:$N$39,4,FALSE)))</f>
        <v xml:space="preserve"> </v>
      </c>
      <c r="H27" s="144"/>
      <c r="I27" s="270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12" customHeight="1">
      <c r="A28" s="89">
        <v>6</v>
      </c>
      <c r="B28" s="539" t="str">
        <f>IF(Регистрация!$D$6&lt;A28," ",CONCATENATE(VLOOKUP(A28,Регистрация!$B$7:$N$39,3,FALSE)," ",VLOOKUP(A28,Регистрация!$B$7:$N$39,4,FALSE)," ","(",VLOOKUP(A28,Регистрация!$B$7:$N$39,11,FALSE),")"))</f>
        <v>Павлова Мария (Политех)</v>
      </c>
      <c r="C28" s="539"/>
      <c r="D28" s="272"/>
      <c r="E28" s="273"/>
      <c r="F28" s="144"/>
      <c r="G28" s="269"/>
      <c r="H28" s="144"/>
      <c r="I28" s="270"/>
      <c r="J28" s="77"/>
      <c r="K28" s="77"/>
      <c r="L28" s="77"/>
      <c r="M28" s="77"/>
      <c r="N28" s="77"/>
      <c r="O28" s="77"/>
      <c r="P28" s="77"/>
      <c r="Q28" s="77"/>
      <c r="R28" s="77"/>
    </row>
    <row r="29" spans="1:18" ht="12" customHeight="1">
      <c r="A29" s="265"/>
      <c r="B29" s="540"/>
      <c r="C29" s="540"/>
      <c r="D29" s="57"/>
      <c r="E29" s="79" t="str">
        <f>IF(D29=0," ",CONCATENATE(VLOOKUP(D29,Регистрация!$B$7:$N$39,3,FALSE)," ",VLOOKUP(D29,Регистрация!$B$7:$N$39,4,FALSE)))</f>
        <v xml:space="preserve"> </v>
      </c>
      <c r="F29" s="144"/>
      <c r="G29" s="270"/>
      <c r="H29" s="144"/>
      <c r="I29" s="270"/>
      <c r="J29" s="77"/>
      <c r="K29" s="77"/>
      <c r="L29" s="77"/>
      <c r="M29" s="77"/>
      <c r="N29" s="77"/>
      <c r="O29" s="77"/>
      <c r="P29" s="77"/>
      <c r="Q29" s="77"/>
      <c r="R29" s="77"/>
    </row>
    <row r="30" spans="1:18" ht="12" customHeight="1">
      <c r="A30" s="89">
        <v>10</v>
      </c>
      <c r="B30" s="539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39"/>
      <c r="D30" s="272"/>
      <c r="E30" s="274"/>
      <c r="F30" s="144"/>
      <c r="G30" s="270"/>
      <c r="H30" s="144"/>
      <c r="I30" s="273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2" customHeight="1">
      <c r="A31" s="272"/>
      <c r="B31" s="540"/>
      <c r="C31" s="540"/>
      <c r="D31" s="272"/>
      <c r="E31" s="274"/>
      <c r="F31" s="144"/>
      <c r="G31" s="270"/>
      <c r="H31" s="55"/>
      <c r="I31" s="79" t="str">
        <f>IF(H31=0," ",CONCATENATE(VLOOKUP(H31,Регистрация!$B$7:$N$39,3,FALSE)," ",VLOOKUP(H31,Регистрация!$B$7:$N$39,4,FALSE)))</f>
        <v xml:space="preserve"> </v>
      </c>
      <c r="J31" s="77"/>
      <c r="K31" s="77"/>
      <c r="L31" s="77"/>
      <c r="M31" s="77"/>
      <c r="N31" s="77"/>
      <c r="O31" s="77"/>
      <c r="P31" s="77"/>
      <c r="Q31" s="77"/>
      <c r="R31" s="77"/>
    </row>
    <row r="32" spans="1:18" ht="7.5" customHeight="1">
      <c r="A32" s="272"/>
      <c r="B32" s="540"/>
      <c r="C32" s="540"/>
      <c r="D32" s="272"/>
      <c r="E32" s="274"/>
      <c r="F32" s="144"/>
      <c r="G32" s="270"/>
      <c r="H32" s="144"/>
      <c r="I32" s="144"/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12" customHeight="1">
      <c r="A33" s="89">
        <v>4</v>
      </c>
      <c r="B33" s="539" t="str">
        <f>IF(Регистрация!$D$6&lt;A33," ",CONCATENATE(VLOOKUP(A33,Регистрация!$B$7:$N$39,3,FALSE)," ",VLOOKUP(A33,Регистрация!$B$7:$N$39,4,FALSE)," ","(",VLOOKUP(A33,Регистрация!$B$7:$N$39,11,FALSE),")"))</f>
        <v>Шайдулина Алина (Политех)</v>
      </c>
      <c r="C33" s="539"/>
      <c r="D33" s="539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39"/>
      <c r="F33" s="144"/>
      <c r="G33" s="270"/>
      <c r="H33" s="144"/>
      <c r="I33" s="144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7.5" customHeight="1">
      <c r="A34" s="272"/>
      <c r="B34" s="540"/>
      <c r="C34" s="540"/>
      <c r="D34" s="272"/>
      <c r="E34" s="270"/>
      <c r="F34" s="144"/>
      <c r="G34" s="273"/>
      <c r="H34" s="144"/>
      <c r="I34" s="144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12" customHeight="1">
      <c r="A35" s="272"/>
      <c r="B35" s="540"/>
      <c r="C35" s="540"/>
      <c r="D35" s="272"/>
      <c r="E35" s="270"/>
      <c r="F35" s="55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544" t="s">
        <v>25</v>
      </c>
      <c r="J35" s="544"/>
      <c r="K35" s="544"/>
      <c r="L35" s="77"/>
      <c r="M35" s="77"/>
      <c r="N35" s="77"/>
      <c r="O35" s="77"/>
      <c r="P35" s="77"/>
      <c r="Q35" s="77"/>
      <c r="R35" s="77"/>
    </row>
    <row r="36" spans="1:18" ht="12" customHeight="1">
      <c r="A36" s="87">
        <v>8</v>
      </c>
      <c r="B36" s="539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39"/>
      <c r="D36" s="272"/>
      <c r="E36" s="273"/>
      <c r="F36" s="144"/>
      <c r="G36" s="144"/>
      <c r="H36" s="144"/>
      <c r="I36" s="144"/>
      <c r="J36" s="77"/>
      <c r="K36" s="77"/>
      <c r="L36" s="77"/>
      <c r="M36" s="77"/>
      <c r="N36" s="77"/>
      <c r="O36" s="77"/>
      <c r="P36" s="77"/>
      <c r="Q36" s="77"/>
      <c r="R36" s="77"/>
    </row>
    <row r="37" spans="1:18" ht="12" customHeight="1">
      <c r="A37" s="272"/>
      <c r="B37" s="540"/>
      <c r="C37" s="540"/>
      <c r="D37" s="57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53">
        <f>IF(H15=0,0,IF(H15=F11,F19,F11))</f>
        <v>0</v>
      </c>
      <c r="I37" s="79" t="str">
        <f>IF(H37=0," ",CONCATENATE(VLOOKUP(H37,Регистрация!$B$7:$N$39,3,FALSE)," ",VLOOKUP(H37,Регистрация!$B$7:$N$39,4,FALSE)))</f>
        <v xml:space="preserve"> </v>
      </c>
      <c r="J37" s="108"/>
      <c r="K37" s="108"/>
      <c r="L37" s="77"/>
      <c r="M37" s="77"/>
      <c r="N37" s="77"/>
      <c r="O37" s="77"/>
      <c r="P37" s="77"/>
      <c r="Q37" s="77"/>
      <c r="R37" s="77"/>
    </row>
    <row r="38" spans="1:18" ht="12" customHeight="1">
      <c r="A38" s="87">
        <v>12</v>
      </c>
      <c r="B38" s="539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39"/>
      <c r="D38" s="142"/>
      <c r="E38" s="297"/>
      <c r="F38" s="254"/>
      <c r="G38" s="254"/>
      <c r="H38" s="99"/>
      <c r="I38" s="267"/>
      <c r="J38" s="55"/>
      <c r="K38" s="79" t="str">
        <f>IF(J38=0," ",CONCATENATE(VLOOKUP(J38,Регистрация!$B$7:$N$39,3,FALSE)," ",VLOOKUP(J38,Регистрация!$B$7:$N$39,4,FALSE)))</f>
        <v xml:space="preserve"> </v>
      </c>
      <c r="L38" s="127"/>
      <c r="M38" s="254"/>
      <c r="N38" s="254"/>
      <c r="O38" s="254"/>
      <c r="P38" s="254"/>
      <c r="Q38" s="110"/>
      <c r="R38" s="122"/>
    </row>
    <row r="39" spans="1:18" ht="12" customHeight="1">
      <c r="D39" s="277"/>
      <c r="E39" s="128"/>
      <c r="H39" s="53">
        <f>IF(H31=0,0,IF(H31=F27,F35,F27))</f>
        <v>0</v>
      </c>
      <c r="I39" s="79" t="str">
        <f>IF(H39=0," ",CONCATENATE(VLOOKUP(H39,Регистрация!$B$7:$N$39,3,FALSE)," ",VLOOKUP(H39,Регистрация!$B$7:$N$39,4,FALSE)))</f>
        <v xml:space="preserve"> </v>
      </c>
      <c r="J39" s="108"/>
      <c r="K39" s="105"/>
      <c r="L39" s="129"/>
      <c r="M39" s="129"/>
      <c r="N39" s="129"/>
      <c r="O39" s="129"/>
      <c r="P39" s="129"/>
      <c r="Q39" s="122"/>
      <c r="R39" s="122"/>
    </row>
    <row r="40" spans="1:18" ht="12" customHeight="1">
      <c r="A40" s="526" t="s">
        <v>16</v>
      </c>
      <c r="B40" s="526"/>
      <c r="C40" s="526"/>
      <c r="D40" s="526"/>
      <c r="E40" s="526"/>
    </row>
    <row r="41" spans="1:18" ht="12" customHeight="1">
      <c r="A41" s="126"/>
      <c r="B41" s="88" t="s">
        <v>1</v>
      </c>
      <c r="C41" s="278" t="s">
        <v>17</v>
      </c>
      <c r="D41" s="252"/>
      <c r="E41" s="253"/>
    </row>
    <row r="42" spans="1:18" ht="13.5" customHeight="1">
      <c r="A42" s="57">
        <f>J23</f>
        <v>0</v>
      </c>
      <c r="B42" s="88">
        <v>1</v>
      </c>
      <c r="C42" s="545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46"/>
      <c r="E42" s="547"/>
      <c r="F42" s="99"/>
      <c r="G42" s="111"/>
      <c r="H42" s="108"/>
      <c r="I42" s="105"/>
    </row>
    <row r="43" spans="1:18" ht="13.5" customHeight="1">
      <c r="A43" s="57">
        <f>IF(J23=0,0,IF(J23=H15,H31,H15))</f>
        <v>0</v>
      </c>
      <c r="B43" s="88">
        <v>2</v>
      </c>
      <c r="C43" s="545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6"/>
      <c r="E43" s="547"/>
    </row>
    <row r="44" spans="1:18" ht="13.5" customHeight="1">
      <c r="A44" s="57">
        <f>J38</f>
        <v>0</v>
      </c>
      <c r="B44" s="88">
        <v>3</v>
      </c>
      <c r="C44" s="545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6"/>
      <c r="E44" s="547"/>
    </row>
    <row r="45" spans="1:18" ht="13.5" customHeight="1">
      <c r="A45" s="57">
        <f>IF(J38=0,0,IF(J38=H37,H39,H37))</f>
        <v>0</v>
      </c>
      <c r="B45" s="88">
        <v>4</v>
      </c>
      <c r="C45" s="545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6"/>
      <c r="E45" s="547"/>
    </row>
    <row r="46" spans="1:18" s="251" customFormat="1" ht="24.75" customHeight="1">
      <c r="A46" s="527" t="s">
        <v>14</v>
      </c>
      <c r="B46" s="527"/>
      <c r="C46" s="527"/>
      <c r="D46" s="276"/>
      <c r="F46" s="131"/>
      <c r="G46" s="131"/>
      <c r="H46" s="131"/>
      <c r="J46" s="251" t="str">
        <f>Регистрация!N73</f>
        <v>Цыльев В.А. С1К</v>
      </c>
    </row>
    <row r="47" spans="1:18" s="251" customFormat="1" ht="13">
      <c r="A47" s="276"/>
      <c r="D47" s="276"/>
    </row>
    <row r="48" spans="1:18" s="251" customFormat="1" ht="13">
      <c r="A48" s="527" t="s">
        <v>15</v>
      </c>
      <c r="B48" s="527"/>
      <c r="C48" s="527"/>
      <c r="D48" s="276"/>
      <c r="F48" s="131"/>
      <c r="G48" s="131"/>
      <c r="H48" s="131"/>
      <c r="J48" s="251" t="str">
        <f>Регистрация!N74</f>
        <v>Орлова Е.С 3 К</v>
      </c>
    </row>
    <row r="50" s="104" customFormat="1" ht="13"/>
    <row r="51" s="104" customFormat="1" ht="13"/>
    <row r="52" s="104" customFormat="1" ht="13"/>
    <row r="53" s="104" customFormat="1" ht="13"/>
    <row r="54" s="104" customFormat="1" ht="13"/>
    <row r="55" s="104" customFormat="1" ht="13"/>
    <row r="56" s="104" customFormat="1" ht="13"/>
    <row r="57" s="104" customFormat="1" ht="13"/>
    <row r="58" s="104" customFormat="1" ht="13"/>
    <row r="59" s="104" customFormat="1" ht="13"/>
    <row r="60" s="104" customFormat="1" ht="13"/>
    <row r="61" s="104" customFormat="1" ht="13"/>
    <row r="62" s="104" customFormat="1" ht="13"/>
    <row r="63" s="104" customFormat="1" ht="13"/>
    <row r="64" s="104" customFormat="1" ht="13"/>
    <row r="65" s="104" customFormat="1" ht="13"/>
    <row r="66" s="104" customFormat="1" ht="13"/>
  </sheetData>
  <mergeCells count="44">
    <mergeCell ref="I35:K35"/>
    <mergeCell ref="B36:C36"/>
    <mergeCell ref="A46:C46"/>
    <mergeCell ref="A48:C48"/>
    <mergeCell ref="B38:C38"/>
    <mergeCell ref="A40:E40"/>
    <mergeCell ref="C42:E42"/>
    <mergeCell ref="C43:E43"/>
    <mergeCell ref="C44:E44"/>
    <mergeCell ref="C45:E45"/>
    <mergeCell ref="B37:C37"/>
    <mergeCell ref="B32:C32"/>
    <mergeCell ref="B33:E33"/>
    <mergeCell ref="B34:C34"/>
    <mergeCell ref="B35:C35"/>
    <mergeCell ref="B26:C26"/>
    <mergeCell ref="B27:C27"/>
    <mergeCell ref="B28:C28"/>
    <mergeCell ref="B29:C29"/>
    <mergeCell ref="B30:C30"/>
    <mergeCell ref="B31:C31"/>
    <mergeCell ref="B23:C23"/>
    <mergeCell ref="B24:C24"/>
    <mergeCell ref="B15:C15"/>
    <mergeCell ref="B16:C16"/>
    <mergeCell ref="B17:E17"/>
    <mergeCell ref="B18:C18"/>
    <mergeCell ref="B19:C19"/>
    <mergeCell ref="B25:E25"/>
    <mergeCell ref="B14:C14"/>
    <mergeCell ref="A1:K1"/>
    <mergeCell ref="A3:K3"/>
    <mergeCell ref="A5:C5"/>
    <mergeCell ref="D5:G5"/>
    <mergeCell ref="A7:K7"/>
    <mergeCell ref="B8:C8"/>
    <mergeCell ref="B9:E9"/>
    <mergeCell ref="B10:C10"/>
    <mergeCell ref="B11:C11"/>
    <mergeCell ref="B12:C12"/>
    <mergeCell ref="B13:C13"/>
    <mergeCell ref="B20:C20"/>
    <mergeCell ref="B21:C21"/>
    <mergeCell ref="B22:C22"/>
  </mergeCells>
  <pageMargins left="0.51" right="0.22" top="0.14000000000000001" bottom="0.24" header="0.11" footer="0.15"/>
  <pageSetup paperSize="9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W66"/>
  <sheetViews>
    <sheetView showGridLines="0" showZeros="0" topLeftCell="A4" workbookViewId="0">
      <selection activeCell="A8" sqref="A8"/>
    </sheetView>
  </sheetViews>
  <sheetFormatPr defaultColWidth="9.1796875" defaultRowHeight="11.15" customHeight="1"/>
  <cols>
    <col min="1" max="1" width="2.453125" style="276" bestFit="1" customWidth="1"/>
    <col min="2" max="2" width="5.7265625" style="104" bestFit="1" customWidth="1"/>
    <col min="3" max="3" width="33.81640625" style="104" customWidth="1"/>
    <col min="4" max="4" width="2" style="276" bestFit="1" customWidth="1"/>
    <col min="5" max="5" width="17.54296875" style="104" customWidth="1"/>
    <col min="6" max="6" width="2" style="104" bestFit="1" customWidth="1"/>
    <col min="7" max="7" width="17.54296875" style="104" customWidth="1"/>
    <col min="8" max="8" width="2" style="104" bestFit="1" customWidth="1"/>
    <col min="9" max="9" width="17.54296875" style="104" customWidth="1"/>
    <col min="10" max="10" width="2" style="104" customWidth="1"/>
    <col min="11" max="11" width="17.54296875" style="104" customWidth="1"/>
    <col min="12" max="24" width="3.453125" style="104" customWidth="1"/>
    <col min="25" max="16384" width="9.1796875" style="104"/>
  </cols>
  <sheetData>
    <row r="1" spans="1:23" ht="14">
      <c r="A1" s="534" t="str">
        <f>Регистрация!A1</f>
        <v xml:space="preserve"> Межмуниципальные соревнования по всестилевому каратэ "Первый старт" 27 сентября 2025 г.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76"/>
      <c r="M1" s="76"/>
      <c r="N1" s="76"/>
      <c r="O1" s="76"/>
      <c r="P1" s="76"/>
      <c r="Q1" s="76"/>
      <c r="R1" s="76"/>
    </row>
    <row r="2" spans="1:23" ht="3.75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4">
      <c r="A3" s="535" t="str">
        <f>Регистрация!A2</f>
        <v>Вид спорта: ВСЕСТИЛЕВОЕ КАРАТЭ (номер-код вида спорта - 0900001411Я)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76"/>
      <c r="M3" s="76"/>
      <c r="N3" s="76"/>
      <c r="O3" s="76"/>
      <c r="P3" s="76"/>
      <c r="Q3" s="76"/>
      <c r="R3" s="76"/>
    </row>
    <row r="4" spans="1:23" ht="3.75" customHeight="1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">
      <c r="A5" s="537" t="str">
        <f>Регистрация!A3</f>
        <v>Женщины 18 +  ОК-двоеборье</v>
      </c>
      <c r="B5" s="537"/>
      <c r="C5" s="537"/>
      <c r="D5" s="537" t="str">
        <f>Регистрация!G3</f>
        <v>г. Санкт-Петербург</v>
      </c>
      <c r="E5" s="537"/>
      <c r="F5" s="537"/>
      <c r="G5" s="537"/>
      <c r="H5" s="255"/>
      <c r="I5" s="85" t="str">
        <f>Регистрация!L3</f>
        <v>27 сентября 2025</v>
      </c>
      <c r="J5" s="77"/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3.7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">
      <c r="A7" s="537" t="s">
        <v>18</v>
      </c>
      <c r="B7" s="537"/>
      <c r="C7" s="537"/>
      <c r="D7" s="537"/>
      <c r="E7" s="537"/>
      <c r="F7" s="537"/>
      <c r="G7" s="537"/>
      <c r="H7" s="537"/>
      <c r="I7" s="537"/>
      <c r="J7" s="537"/>
      <c r="K7" s="537"/>
      <c r="L7" s="77"/>
      <c r="M7" s="77"/>
      <c r="N7" s="77"/>
      <c r="O7" s="77"/>
      <c r="P7" s="77"/>
      <c r="Q7" s="144"/>
      <c r="R7" s="144"/>
    </row>
    <row r="8" spans="1:23" s="261" customFormat="1" ht="3.75" customHeight="1">
      <c r="A8" s="265"/>
      <c r="B8" s="540"/>
      <c r="C8" s="540"/>
      <c r="D8" s="84"/>
      <c r="E8" s="137"/>
      <c r="F8" s="108"/>
      <c r="G8" s="108"/>
      <c r="H8" s="108"/>
      <c r="I8" s="84"/>
      <c r="J8" s="84"/>
      <c r="K8" s="84"/>
      <c r="L8" s="84"/>
      <c r="M8" s="108"/>
      <c r="N8" s="108"/>
      <c r="O8" s="108"/>
      <c r="P8" s="110"/>
      <c r="Q8" s="112"/>
      <c r="R8" s="112"/>
      <c r="S8" s="260"/>
    </row>
    <row r="9" spans="1:23" s="262" customFormat="1" ht="12" customHeight="1">
      <c r="A9" s="89">
        <v>1</v>
      </c>
      <c r="B9" s="539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39"/>
      <c r="D9" s="539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39"/>
      <c r="F9" s="108"/>
      <c r="G9" s="108"/>
      <c r="H9" s="108"/>
      <c r="I9" s="105"/>
      <c r="J9" s="108"/>
      <c r="K9" s="108"/>
      <c r="L9" s="105"/>
      <c r="M9" s="108"/>
      <c r="N9" s="108"/>
      <c r="O9" s="108"/>
      <c r="P9" s="110"/>
      <c r="Q9" s="113"/>
      <c r="R9" s="113"/>
      <c r="S9" s="260"/>
    </row>
    <row r="10" spans="1:23" s="109" customFormat="1" ht="5.25" customHeight="1">
      <c r="A10" s="265"/>
      <c r="B10" s="540"/>
      <c r="C10" s="540"/>
      <c r="D10" s="265"/>
      <c r="E10" s="270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254"/>
      <c r="Q10" s="105"/>
      <c r="R10" s="105"/>
      <c r="S10" s="132"/>
    </row>
    <row r="11" spans="1:23" s="261" customFormat="1" ht="12" customHeight="1">
      <c r="A11" s="265"/>
      <c r="B11" s="540"/>
      <c r="C11" s="540"/>
      <c r="D11" s="265"/>
      <c r="E11" s="270"/>
      <c r="F11" s="55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108"/>
      <c r="L11" s="108"/>
      <c r="M11" s="108"/>
      <c r="N11" s="108"/>
      <c r="O11" s="105"/>
      <c r="P11" s="108"/>
      <c r="Q11" s="112"/>
      <c r="R11" s="112"/>
      <c r="S11" s="260"/>
    </row>
    <row r="12" spans="1:23" s="109" customFormat="1" ht="12" customHeight="1">
      <c r="A12" s="89">
        <v>5</v>
      </c>
      <c r="B12" s="539" t="str">
        <f>IF(Регистрация!$D$6&lt;A12," ",CONCATENATE(VLOOKUP(A12,Регистрация!$B$7:$N$39,3,FALSE)," ",VLOOKUP(A12,Регистрация!$B$7:$N$39,4,FALSE)," ","(",VLOOKUP(A12,Регистрация!$B$7:$N$39,11,FALSE),")"))</f>
        <v>Носкова Александра (Политех)</v>
      </c>
      <c r="C12" s="539"/>
      <c r="D12" s="265"/>
      <c r="E12" s="273"/>
      <c r="F12" s="99"/>
      <c r="G12" s="269"/>
      <c r="H12" s="108"/>
      <c r="I12" s="108"/>
      <c r="J12" s="108"/>
      <c r="K12" s="108"/>
      <c r="L12" s="108"/>
      <c r="M12" s="108"/>
      <c r="N12" s="108"/>
      <c r="O12" s="105"/>
      <c r="P12" s="254"/>
      <c r="Q12" s="105"/>
      <c r="R12" s="105"/>
      <c r="S12" s="132"/>
    </row>
    <row r="13" spans="1:23" s="261" customFormat="1" ht="12" customHeight="1">
      <c r="A13" s="265"/>
      <c r="B13" s="540"/>
      <c r="C13" s="540"/>
      <c r="D13" s="53"/>
      <c r="E13" s="79" t="str">
        <f>IF(D13=0," ",CONCATENATE(VLOOKUP(D13,Регистрация!$B$7:$N$39,3,FALSE)," ",VLOOKUP(D13,Регистрация!$B$7:$N$39,4,FALSE)))</f>
        <v xml:space="preserve"> </v>
      </c>
      <c r="F13" s="99"/>
      <c r="G13" s="270"/>
      <c r="H13" s="108"/>
      <c r="I13" s="108"/>
      <c r="J13" s="108"/>
      <c r="K13" s="108"/>
      <c r="L13" s="108"/>
      <c r="M13" s="119"/>
      <c r="N13" s="119"/>
      <c r="O13" s="119"/>
      <c r="P13" s="119"/>
      <c r="Q13" s="112"/>
      <c r="R13" s="112"/>
      <c r="S13" s="260"/>
    </row>
    <row r="14" spans="1:23" s="261" customFormat="1" ht="12" customHeight="1">
      <c r="A14" s="89">
        <v>9</v>
      </c>
      <c r="B14" s="539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39"/>
      <c r="D14" s="51"/>
      <c r="E14" s="274"/>
      <c r="F14" s="99"/>
      <c r="G14" s="270"/>
      <c r="H14" s="108"/>
      <c r="I14" s="96"/>
      <c r="J14" s="96"/>
      <c r="K14" s="96"/>
      <c r="L14" s="96"/>
      <c r="M14" s="108"/>
      <c r="N14" s="108"/>
      <c r="O14" s="108"/>
      <c r="P14" s="133"/>
      <c r="Q14" s="112"/>
      <c r="R14" s="112"/>
      <c r="S14" s="260"/>
      <c r="W14" s="263"/>
    </row>
    <row r="15" spans="1:23" ht="12" customHeight="1">
      <c r="A15" s="272"/>
      <c r="B15" s="540"/>
      <c r="C15" s="540"/>
      <c r="D15" s="56"/>
      <c r="E15" s="274"/>
      <c r="F15" s="99"/>
      <c r="G15" s="270"/>
      <c r="H15" s="55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23" ht="12" customHeight="1">
      <c r="A16" s="87">
        <v>3</v>
      </c>
      <c r="B16" s="539" t="str">
        <f>IF(Регистрация!$D$6&lt;A16," ",CONCATENATE(VLOOKUP(A16,Регистрация!$B$7:$N$39,3,FALSE)," ",VLOOKUP(A16,Регистрация!$B$7:$N$39,4,FALSE)," ","(",VLOOKUP(A16,Регистрация!$B$7:$N$39,11,FALSE),")"))</f>
        <v>Паранина Полина (Политех)</v>
      </c>
      <c r="C16" s="539"/>
      <c r="D16" s="51"/>
      <c r="E16" s="274"/>
      <c r="F16" s="99"/>
      <c r="G16" s="270"/>
      <c r="I16" s="269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2" customHeight="1">
      <c r="A17" s="265"/>
      <c r="B17" s="540"/>
      <c r="C17" s="540"/>
      <c r="D17" s="53"/>
      <c r="E17" s="79" t="str">
        <f>IF(D17=0," ",CONCATENATE(VLOOKUP(D17,Регистрация!$B$7:$N$39,3,FALSE)," ",VLOOKUP(D17,Регистрация!$B$7:$N$39,4,FALSE)))</f>
        <v xml:space="preserve"> </v>
      </c>
      <c r="F17" s="99"/>
      <c r="G17" s="270"/>
      <c r="H17" s="108"/>
      <c r="I17" s="270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12" customHeight="1">
      <c r="A18" s="87">
        <v>11</v>
      </c>
      <c r="B18" s="539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39"/>
      <c r="D18" s="51"/>
      <c r="E18" s="269"/>
      <c r="F18" s="99"/>
      <c r="G18" s="273"/>
      <c r="H18" s="108"/>
      <c r="I18" s="270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2" customHeight="1">
      <c r="A19" s="272"/>
      <c r="B19" s="540"/>
      <c r="C19" s="540"/>
      <c r="D19" s="51"/>
      <c r="E19" s="270"/>
      <c r="F19" s="55"/>
      <c r="G19" s="79" t="str">
        <f>IF(F19=0," ",CONCATENATE(VLOOKUP(F19,Регистрация!$B$7:$N$39,3,FALSE)," ",VLOOKUP(F19,Регистрация!$B$7:$N$39,4,FALSE)))</f>
        <v xml:space="preserve"> </v>
      </c>
      <c r="H19" s="108"/>
      <c r="I19" s="270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2" customHeight="1">
      <c r="A20" s="87">
        <v>7</v>
      </c>
      <c r="B20" s="539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39"/>
      <c r="D20" s="51"/>
      <c r="E20" s="273"/>
      <c r="F20" s="105"/>
      <c r="G20" s="274"/>
      <c r="H20" s="108"/>
      <c r="I20" s="270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2" customHeight="1">
      <c r="A21" s="272"/>
      <c r="B21" s="540"/>
      <c r="C21" s="540"/>
      <c r="D21" s="53"/>
      <c r="E21" s="79" t="str">
        <f>IF(D21=0," ",CONCATENATE(VLOOKUP(D21,Регистрация!$B$7:$N$39,3,FALSE)," ",VLOOKUP(D21,Регистрация!$B$7:$N$39,4,FALSE)))</f>
        <v xml:space="preserve"> </v>
      </c>
      <c r="F21" s="105"/>
      <c r="G21" s="274"/>
      <c r="H21" s="108"/>
      <c r="I21" s="270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12" customHeight="1">
      <c r="A22" s="87">
        <v>13</v>
      </c>
      <c r="B22" s="539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39"/>
      <c r="D22" s="265"/>
      <c r="E22" s="274"/>
      <c r="F22" s="110"/>
      <c r="G22" s="274"/>
      <c r="H22" s="110"/>
      <c r="I22" s="27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2" customHeight="1">
      <c r="A23" s="272"/>
      <c r="B23" s="540"/>
      <c r="C23" s="540"/>
      <c r="D23" s="272"/>
      <c r="E23" s="274"/>
      <c r="F23" s="77"/>
      <c r="G23" s="274"/>
      <c r="H23" s="77"/>
      <c r="I23" s="270"/>
      <c r="J23" s="55"/>
      <c r="K23" s="79" t="str">
        <f>IF(J23=0," ",CONCATENATE(VLOOKUP(J23,Регистрация!$B$7:$N$39,3,FALSE)," ",VLOOKUP(J23,Регистрация!$B$7:$N$39,4,FALSE)))</f>
        <v xml:space="preserve"> </v>
      </c>
      <c r="L23" s="77"/>
      <c r="M23" s="77"/>
      <c r="N23" s="77"/>
      <c r="O23" s="77"/>
      <c r="P23" s="77"/>
      <c r="Q23" s="77"/>
      <c r="R23" s="77"/>
    </row>
    <row r="24" spans="1:18" ht="5.25" customHeight="1">
      <c r="A24" s="265"/>
      <c r="B24" s="540"/>
      <c r="C24" s="540"/>
      <c r="D24" s="272"/>
      <c r="E24" s="274"/>
      <c r="F24" s="144"/>
      <c r="G24" s="274"/>
      <c r="H24" s="144"/>
      <c r="I24" s="270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2" customHeight="1">
      <c r="A25" s="89">
        <v>2</v>
      </c>
      <c r="B25" s="539" t="str">
        <f>IF(Регистрация!$D$6&lt;A25," ",CONCATENATE(VLOOKUP(A25,Регистрация!$B$7:$N$39,3,FALSE)," ",VLOOKUP(A25,Регистрация!$B$7:$N$39,4,FALSE)," ","(",VLOOKUP(A25,Регистрация!$B$7:$N$39,11,FALSE),")"))</f>
        <v>Хохлова Элина (WSKF)</v>
      </c>
      <c r="C25" s="539"/>
      <c r="D25" s="539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39"/>
      <c r="F25" s="144"/>
      <c r="G25" s="274"/>
      <c r="H25" s="144"/>
      <c r="I25" s="270"/>
      <c r="J25" s="77"/>
      <c r="K25" s="77"/>
      <c r="L25" s="77"/>
      <c r="M25" s="77"/>
      <c r="N25" s="77"/>
      <c r="O25" s="77"/>
      <c r="P25" s="77"/>
      <c r="Q25" s="77"/>
      <c r="R25" s="77"/>
    </row>
    <row r="26" spans="1:18" ht="5.25" customHeight="1">
      <c r="A26" s="265"/>
      <c r="B26" s="540"/>
      <c r="C26" s="540"/>
      <c r="D26" s="272"/>
      <c r="E26" s="270"/>
      <c r="F26" s="144"/>
      <c r="G26" s="274"/>
      <c r="H26" s="144"/>
      <c r="I26" s="270"/>
      <c r="J26" s="77"/>
      <c r="K26" s="77"/>
      <c r="L26" s="77"/>
      <c r="M26" s="77"/>
      <c r="N26" s="77"/>
      <c r="O26" s="77"/>
      <c r="P26" s="77"/>
      <c r="Q26" s="77"/>
      <c r="R26" s="77"/>
    </row>
    <row r="27" spans="1:18" ht="12" customHeight="1">
      <c r="A27" s="265"/>
      <c r="B27" s="540"/>
      <c r="C27" s="540"/>
      <c r="D27" s="272"/>
      <c r="E27" s="270"/>
      <c r="F27" s="55"/>
      <c r="G27" s="79" t="str">
        <f>IF(F27=0," ",CONCATENATE(VLOOKUP(F27,Регистрация!$B$7:$N$39,3,FALSE)," ",VLOOKUP(F27,Регистрация!$B$7:$N$39,4,FALSE)))</f>
        <v xml:space="preserve"> </v>
      </c>
      <c r="H27" s="144"/>
      <c r="I27" s="270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12" customHeight="1">
      <c r="A28" s="89">
        <v>6</v>
      </c>
      <c r="B28" s="539" t="str">
        <f>IF(Регистрация!$D$6&lt;A28," ",CONCATENATE(VLOOKUP(A28,Регистрация!$B$7:$N$39,3,FALSE)," ",VLOOKUP(A28,Регистрация!$B$7:$N$39,4,FALSE)," ","(",VLOOKUP(A28,Регистрация!$B$7:$N$39,11,FALSE),")"))</f>
        <v>Павлова Мария (Политех)</v>
      </c>
      <c r="C28" s="539"/>
      <c r="D28" s="272"/>
      <c r="E28" s="273"/>
      <c r="F28" s="144"/>
      <c r="G28" s="269"/>
      <c r="H28" s="144"/>
      <c r="I28" s="270"/>
      <c r="J28" s="77"/>
      <c r="K28" s="77"/>
      <c r="L28" s="77"/>
      <c r="M28" s="77"/>
      <c r="N28" s="77"/>
      <c r="O28" s="77"/>
      <c r="P28" s="77"/>
      <c r="Q28" s="77"/>
      <c r="R28" s="77"/>
    </row>
    <row r="29" spans="1:18" ht="12" customHeight="1">
      <c r="A29" s="265"/>
      <c r="B29" s="540"/>
      <c r="C29" s="540"/>
      <c r="D29" s="57"/>
      <c r="E29" s="79" t="str">
        <f>IF(D29=0," ",CONCATENATE(VLOOKUP(D29,Регистрация!$B$7:$N$39,3,FALSE)," ",VLOOKUP(D29,Регистрация!$B$7:$N$39,4,FALSE)))</f>
        <v xml:space="preserve"> </v>
      </c>
      <c r="F29" s="144"/>
      <c r="G29" s="270"/>
      <c r="H29" s="144"/>
      <c r="I29" s="270"/>
      <c r="J29" s="77"/>
      <c r="K29" s="77"/>
      <c r="L29" s="77"/>
      <c r="M29" s="77"/>
      <c r="N29" s="77"/>
      <c r="O29" s="77"/>
      <c r="P29" s="77"/>
      <c r="Q29" s="77"/>
      <c r="R29" s="77"/>
    </row>
    <row r="30" spans="1:18" ht="12" customHeight="1">
      <c r="A30" s="89">
        <v>10</v>
      </c>
      <c r="B30" s="539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39"/>
      <c r="D30" s="272"/>
      <c r="E30" s="274"/>
      <c r="F30" s="144"/>
      <c r="G30" s="270"/>
      <c r="H30" s="144"/>
      <c r="I30" s="273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2" customHeight="1">
      <c r="A31" s="272"/>
      <c r="B31" s="540"/>
      <c r="C31" s="540"/>
      <c r="D31" s="272"/>
      <c r="E31" s="274"/>
      <c r="F31" s="144"/>
      <c r="G31" s="270"/>
      <c r="H31" s="55"/>
      <c r="I31" s="79" t="str">
        <f>IF(H31=0," ",CONCATENATE(VLOOKUP(H31,Регистрация!$B$7:$N$39,3,FALSE)," ",VLOOKUP(H31,Регистрация!$B$7:$N$39,4,FALSE)))</f>
        <v xml:space="preserve"> </v>
      </c>
      <c r="J31" s="77"/>
      <c r="K31" s="77"/>
      <c r="L31" s="77"/>
      <c r="M31" s="77"/>
      <c r="N31" s="77"/>
      <c r="O31" s="77"/>
      <c r="P31" s="77"/>
      <c r="Q31" s="77"/>
      <c r="R31" s="77"/>
    </row>
    <row r="32" spans="1:18" ht="5.25" customHeight="1">
      <c r="A32" s="272"/>
      <c r="B32" s="540"/>
      <c r="C32" s="540"/>
      <c r="D32" s="272"/>
      <c r="E32" s="274"/>
      <c r="F32" s="144"/>
      <c r="G32" s="270"/>
      <c r="H32" s="144"/>
      <c r="I32" s="144"/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12" customHeight="1">
      <c r="A33" s="89">
        <v>4</v>
      </c>
      <c r="B33" s="539" t="str">
        <f>IF(Регистрация!$D$6&lt;A33," ",CONCATENATE(VLOOKUP(A33,Регистрация!$B$7:$N$39,3,FALSE)," ",VLOOKUP(A33,Регистрация!$B$7:$N$39,4,FALSE)," ","(",VLOOKUP(A33,Регистрация!$B$7:$N$39,11,FALSE),")"))</f>
        <v>Шайдулина Алина (Политех)</v>
      </c>
      <c r="C33" s="539"/>
      <c r="D33" s="539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39"/>
      <c r="F33" s="144"/>
      <c r="G33" s="270"/>
      <c r="H33" s="144"/>
      <c r="I33" s="144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6.75" customHeight="1">
      <c r="A34" s="272"/>
      <c r="B34" s="540"/>
      <c r="C34" s="540"/>
      <c r="D34" s="272"/>
      <c r="E34" s="270"/>
      <c r="F34" s="144"/>
      <c r="G34" s="273"/>
      <c r="H34" s="144"/>
      <c r="I34" s="144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12" customHeight="1">
      <c r="A35" s="272"/>
      <c r="B35" s="540"/>
      <c r="C35" s="540"/>
      <c r="D35" s="272"/>
      <c r="E35" s="270"/>
      <c r="F35" s="55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544" t="s">
        <v>25</v>
      </c>
      <c r="J35" s="544"/>
      <c r="K35" s="544"/>
      <c r="L35" s="77"/>
      <c r="M35" s="77"/>
      <c r="N35" s="77"/>
      <c r="O35" s="77"/>
      <c r="P35" s="77"/>
      <c r="Q35" s="77"/>
      <c r="R35" s="77"/>
    </row>
    <row r="36" spans="1:18" ht="12" customHeight="1">
      <c r="A36" s="87">
        <v>8</v>
      </c>
      <c r="B36" s="539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39"/>
      <c r="D36" s="272"/>
      <c r="E36" s="273"/>
      <c r="F36" s="144"/>
      <c r="G36" s="144"/>
      <c r="H36" s="144"/>
      <c r="I36" s="144"/>
      <c r="J36" s="77"/>
      <c r="K36" s="77"/>
      <c r="L36" s="77"/>
      <c r="M36" s="77"/>
      <c r="N36" s="77"/>
      <c r="O36" s="77"/>
      <c r="P36" s="77"/>
      <c r="Q36" s="77"/>
      <c r="R36" s="77"/>
    </row>
    <row r="37" spans="1:18" ht="12" customHeight="1">
      <c r="A37" s="272"/>
      <c r="B37" s="540"/>
      <c r="C37" s="540"/>
      <c r="D37" s="57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89">
        <f>IF(H15=0,0,IF(H15=F11,F19,F11))</f>
        <v>0</v>
      </c>
      <c r="I37" s="79" t="str">
        <f>IF(H37=0," ",CONCATENATE(VLOOKUP(H37,Регистрация!$B$7:$N$39,3,FALSE)," ",VLOOKUP(H37,Регистрация!$B$7:$N$39,4,FALSE)))</f>
        <v xml:space="preserve"> </v>
      </c>
      <c r="J37" s="108"/>
      <c r="K37" s="108"/>
      <c r="L37" s="77"/>
      <c r="M37" s="77"/>
      <c r="N37" s="77"/>
      <c r="O37" s="77"/>
      <c r="P37" s="77"/>
      <c r="Q37" s="77"/>
      <c r="R37" s="77"/>
    </row>
    <row r="38" spans="1:18" ht="12" customHeight="1">
      <c r="A38" s="87">
        <v>12</v>
      </c>
      <c r="B38" s="539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39"/>
      <c r="D38" s="142"/>
      <c r="E38" s="297"/>
      <c r="F38" s="254"/>
      <c r="G38" s="254"/>
      <c r="H38" s="99"/>
      <c r="I38" s="267"/>
      <c r="J38" s="55"/>
      <c r="K38" s="79" t="str">
        <f>IF(J38=0," ",CONCATENATE(VLOOKUP(J38,Регистрация!$B$7:$N$39,3,FALSE)," ",VLOOKUP(J38,Регистрация!$B$7:$N$39,4,FALSE)))</f>
        <v xml:space="preserve"> </v>
      </c>
      <c r="L38" s="127"/>
      <c r="M38" s="254"/>
      <c r="N38" s="254"/>
      <c r="O38" s="254"/>
      <c r="P38" s="254"/>
      <c r="Q38" s="110"/>
      <c r="R38" s="122"/>
    </row>
    <row r="39" spans="1:18" ht="12" customHeight="1">
      <c r="D39" s="277"/>
      <c r="E39" s="128"/>
      <c r="H39" s="89">
        <f>IF(H31=0,0,IF(H31=F27,F35,F27))</f>
        <v>0</v>
      </c>
      <c r="I39" s="79" t="str">
        <f>IF(H39=0," ",CONCATENATE(VLOOKUP(H39,Регистрация!$B$7:$N$39,3,FALSE)," ",VLOOKUP(H39,Регистрация!$B$7:$N$39,4,FALSE)))</f>
        <v xml:space="preserve"> </v>
      </c>
      <c r="J39" s="108"/>
      <c r="K39" s="105"/>
      <c r="L39" s="129"/>
      <c r="M39" s="129"/>
      <c r="N39" s="129"/>
      <c r="O39" s="129"/>
      <c r="P39" s="129"/>
      <c r="Q39" s="122"/>
      <c r="R39" s="122"/>
    </row>
    <row r="40" spans="1:18" ht="13">
      <c r="A40" s="526" t="s">
        <v>16</v>
      </c>
      <c r="B40" s="526"/>
      <c r="C40" s="526"/>
      <c r="D40" s="526"/>
      <c r="E40" s="526"/>
    </row>
    <row r="41" spans="1:18" ht="13">
      <c r="A41" s="126"/>
      <c r="B41" s="88" t="s">
        <v>1</v>
      </c>
      <c r="C41" s="278" t="s">
        <v>17</v>
      </c>
      <c r="D41" s="252"/>
      <c r="E41" s="253"/>
    </row>
    <row r="42" spans="1:18" ht="12.75" customHeight="1">
      <c r="A42" s="87">
        <f>J23</f>
        <v>0</v>
      </c>
      <c r="B42" s="88">
        <v>1</v>
      </c>
      <c r="C42" s="545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46"/>
      <c r="E42" s="547"/>
      <c r="F42" s="99"/>
      <c r="G42" s="111"/>
      <c r="H42" s="108"/>
      <c r="I42" s="105"/>
    </row>
    <row r="43" spans="1:18" ht="12.75" customHeight="1">
      <c r="A43" s="87">
        <f>IF(J23=0,0,IF(J23=H15,H31,H15))</f>
        <v>0</v>
      </c>
      <c r="B43" s="88">
        <v>2</v>
      </c>
      <c r="C43" s="545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6"/>
      <c r="E43" s="547"/>
    </row>
    <row r="44" spans="1:18" ht="12.75" customHeight="1">
      <c r="A44" s="87">
        <f>J38</f>
        <v>0</v>
      </c>
      <c r="B44" s="88">
        <v>3</v>
      </c>
      <c r="C44" s="545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6"/>
      <c r="E44" s="547"/>
    </row>
    <row r="45" spans="1:18" ht="12.75" customHeight="1">
      <c r="A45" s="87">
        <f>IF(J38=0,0,IF(J38=H37,H39,H37))</f>
        <v>0</v>
      </c>
      <c r="B45" s="88">
        <v>4</v>
      </c>
      <c r="C45" s="545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6"/>
      <c r="E45" s="547"/>
    </row>
    <row r="46" spans="1:18" s="251" customFormat="1" ht="24" customHeight="1">
      <c r="A46" s="527" t="s">
        <v>14</v>
      </c>
      <c r="B46" s="527"/>
      <c r="C46" s="527"/>
      <c r="D46" s="276"/>
      <c r="F46" s="131"/>
      <c r="G46" s="131"/>
      <c r="H46" s="131"/>
      <c r="J46" s="251" t="str">
        <f>Регистрация!N73</f>
        <v>Цыльев В.А. С1К</v>
      </c>
    </row>
    <row r="47" spans="1:18" s="251" customFormat="1" ht="13">
      <c r="A47" s="276"/>
      <c r="D47" s="276"/>
    </row>
    <row r="48" spans="1:18" s="251" customFormat="1" ht="13">
      <c r="A48" s="527" t="s">
        <v>15</v>
      </c>
      <c r="B48" s="527"/>
      <c r="C48" s="527"/>
      <c r="D48" s="276"/>
      <c r="F48" s="131"/>
      <c r="G48" s="131"/>
      <c r="H48" s="131"/>
      <c r="J48" s="251" t="str">
        <f>Регистрация!N74</f>
        <v>Орлова Е.С 3 К</v>
      </c>
    </row>
    <row r="50" s="104" customFormat="1" ht="13"/>
    <row r="51" s="104" customFormat="1" ht="13"/>
    <row r="52" s="104" customFormat="1" ht="13"/>
    <row r="53" s="104" customFormat="1" ht="13"/>
    <row r="54" s="104" customFormat="1" ht="13"/>
    <row r="55" s="104" customFormat="1" ht="13"/>
    <row r="56" s="104" customFormat="1" ht="13"/>
    <row r="57" s="104" customFormat="1" ht="13"/>
    <row r="58" s="104" customFormat="1" ht="13"/>
    <row r="59" s="104" customFormat="1" ht="13"/>
    <row r="60" s="104" customFormat="1" ht="13"/>
    <row r="61" s="104" customFormat="1" ht="13"/>
    <row r="62" s="104" customFormat="1" ht="13"/>
    <row r="63" s="104" customFormat="1" ht="13"/>
    <row r="64" s="104" customFormat="1" ht="13"/>
    <row r="65" s="104" customFormat="1" ht="13"/>
    <row r="66" s="104" customFormat="1" ht="13"/>
  </sheetData>
  <mergeCells count="44">
    <mergeCell ref="I35:K35"/>
    <mergeCell ref="B36:C36"/>
    <mergeCell ref="A46:C46"/>
    <mergeCell ref="A48:C48"/>
    <mergeCell ref="B38:C38"/>
    <mergeCell ref="A40:E40"/>
    <mergeCell ref="C42:E42"/>
    <mergeCell ref="C43:E43"/>
    <mergeCell ref="C44:E44"/>
    <mergeCell ref="C45:E45"/>
    <mergeCell ref="B37:C37"/>
    <mergeCell ref="B32:C32"/>
    <mergeCell ref="B33:E33"/>
    <mergeCell ref="B34:C34"/>
    <mergeCell ref="B35:C35"/>
    <mergeCell ref="B26:C26"/>
    <mergeCell ref="B27:C27"/>
    <mergeCell ref="B28:C28"/>
    <mergeCell ref="B29:C29"/>
    <mergeCell ref="B30:C30"/>
    <mergeCell ref="B31:C31"/>
    <mergeCell ref="B23:C23"/>
    <mergeCell ref="B24:C24"/>
    <mergeCell ref="B15:C15"/>
    <mergeCell ref="B16:C16"/>
    <mergeCell ref="B17:C17"/>
    <mergeCell ref="B18:C18"/>
    <mergeCell ref="B19:C19"/>
    <mergeCell ref="B25:E25"/>
    <mergeCell ref="B14:C14"/>
    <mergeCell ref="A1:K1"/>
    <mergeCell ref="A3:K3"/>
    <mergeCell ref="A5:C5"/>
    <mergeCell ref="D5:G5"/>
    <mergeCell ref="A7:K7"/>
    <mergeCell ref="B8:C8"/>
    <mergeCell ref="B9:E9"/>
    <mergeCell ref="B10:C10"/>
    <mergeCell ref="B11:C11"/>
    <mergeCell ref="B12:C12"/>
    <mergeCell ref="B13:C13"/>
    <mergeCell ref="B20:C20"/>
    <mergeCell ref="B21:C21"/>
    <mergeCell ref="B22:C22"/>
  </mergeCells>
  <pageMargins left="0.53" right="0.16" top="0.24" bottom="0.25" header="0.11" footer="0.15"/>
  <pageSetup paperSize="9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W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2.453125" style="276" bestFit="1" customWidth="1"/>
    <col min="2" max="2" width="5.7265625" style="104" bestFit="1" customWidth="1"/>
    <col min="3" max="3" width="33.81640625" style="104" customWidth="1"/>
    <col min="4" max="4" width="2" style="276" bestFit="1" customWidth="1"/>
    <col min="5" max="5" width="17.54296875" style="104" customWidth="1"/>
    <col min="6" max="6" width="2" style="104" bestFit="1" customWidth="1"/>
    <col min="7" max="7" width="17.54296875" style="104" customWidth="1"/>
    <col min="8" max="8" width="2" style="104" bestFit="1" customWidth="1"/>
    <col min="9" max="9" width="17.54296875" style="104" customWidth="1"/>
    <col min="10" max="10" width="2" style="104" customWidth="1"/>
    <col min="11" max="11" width="17.54296875" style="104" customWidth="1"/>
    <col min="12" max="15" width="3.453125" style="104" customWidth="1"/>
    <col min="16" max="16" width="4" style="104" customWidth="1"/>
    <col min="17" max="24" width="3.453125" style="104" customWidth="1"/>
    <col min="25" max="16384" width="9.1796875" style="104"/>
  </cols>
  <sheetData>
    <row r="1" spans="1:23" ht="14">
      <c r="A1" s="534" t="str">
        <f>Регистрация!A1</f>
        <v xml:space="preserve"> Межмуниципальные соревнования по всестилевому каратэ "Первый старт" 27 сентября 2025 г.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76"/>
      <c r="M1" s="76"/>
      <c r="N1" s="76"/>
      <c r="O1" s="76"/>
      <c r="P1" s="76"/>
      <c r="Q1" s="76"/>
      <c r="R1" s="76"/>
    </row>
    <row r="2" spans="1:23" ht="3.75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4">
      <c r="A3" s="535" t="str">
        <f>Регистрация!A2</f>
        <v>Вид спорта: ВСЕСТИЛЕВОЕ КАРАТЭ (номер-код вида спорта - 0900001411Я)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76"/>
      <c r="M3" s="76"/>
      <c r="N3" s="76"/>
      <c r="O3" s="76"/>
      <c r="P3" s="76"/>
      <c r="Q3" s="76"/>
      <c r="R3" s="76"/>
    </row>
    <row r="4" spans="1:23" ht="3.75" customHeight="1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">
      <c r="A5" s="537" t="str">
        <f>Регистрация!A3</f>
        <v>Женщины 18 +  ОК-двоеборье</v>
      </c>
      <c r="B5" s="537"/>
      <c r="C5" s="537"/>
      <c r="D5" s="537" t="str">
        <f>Регистрация!G3</f>
        <v>г. Санкт-Петербург</v>
      </c>
      <c r="E5" s="537"/>
      <c r="F5" s="537"/>
      <c r="G5" s="537"/>
      <c r="H5" s="255"/>
      <c r="I5" s="85" t="str">
        <f>Регистрация!L3</f>
        <v>27 сентября 2025</v>
      </c>
      <c r="J5" s="144" t="s">
        <v>45</v>
      </c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3.7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">
      <c r="A7" s="537" t="s">
        <v>18</v>
      </c>
      <c r="B7" s="537"/>
      <c r="C7" s="537"/>
      <c r="D7" s="537"/>
      <c r="E7" s="537"/>
      <c r="F7" s="537"/>
      <c r="G7" s="537"/>
      <c r="H7" s="537"/>
      <c r="I7" s="537"/>
      <c r="J7" s="537"/>
      <c r="K7" s="537"/>
      <c r="L7" s="77"/>
      <c r="M7" s="77"/>
      <c r="N7" s="77"/>
      <c r="O7" s="77"/>
      <c r="P7" s="77"/>
      <c r="Q7" s="144"/>
      <c r="R7" s="144"/>
    </row>
    <row r="8" spans="1:23" s="261" customFormat="1" ht="4.5" customHeight="1">
      <c r="A8" s="265"/>
      <c r="B8" s="550"/>
      <c r="C8" s="550"/>
      <c r="D8" s="84"/>
      <c r="E8" s="137"/>
      <c r="F8" s="108"/>
      <c r="G8" s="108"/>
      <c r="H8" s="108"/>
      <c r="I8" s="84"/>
      <c r="J8" s="84"/>
      <c r="K8" s="84"/>
      <c r="L8" s="84"/>
      <c r="M8" s="108"/>
      <c r="N8" s="108"/>
      <c r="O8" s="108"/>
      <c r="P8" s="110"/>
      <c r="Q8" s="112"/>
      <c r="R8" s="112"/>
      <c r="S8" s="260"/>
    </row>
    <row r="9" spans="1:23" s="262" customFormat="1" ht="12" customHeight="1">
      <c r="A9" s="89">
        <v>1</v>
      </c>
      <c r="B9" s="539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39"/>
      <c r="D9" s="539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39"/>
      <c r="F9" s="108"/>
      <c r="G9" s="108"/>
      <c r="H9" s="108"/>
      <c r="I9" s="105"/>
      <c r="J9" s="108"/>
      <c r="K9" s="108"/>
      <c r="L9" s="105"/>
      <c r="M9" s="108"/>
      <c r="N9" s="108"/>
      <c r="O9" s="108"/>
      <c r="P9" s="110"/>
      <c r="Q9" s="113"/>
      <c r="R9" s="113"/>
      <c r="S9" s="260"/>
    </row>
    <row r="10" spans="1:23" s="109" customFormat="1" ht="12" customHeight="1">
      <c r="A10" s="265"/>
      <c r="B10" s="540"/>
      <c r="C10" s="540"/>
      <c r="D10" s="265"/>
      <c r="E10" s="270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254"/>
      <c r="Q10" s="105"/>
      <c r="R10" s="105"/>
      <c r="S10" s="132"/>
    </row>
    <row r="11" spans="1:23" s="261" customFormat="1" ht="12" customHeight="1">
      <c r="A11" s="265"/>
      <c r="B11" s="540"/>
      <c r="C11" s="540"/>
      <c r="D11" s="265"/>
      <c r="E11" s="270"/>
      <c r="F11" s="55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108"/>
      <c r="L11" s="108"/>
      <c r="M11" s="108"/>
      <c r="N11" s="108"/>
      <c r="O11" s="105"/>
      <c r="P11" s="108"/>
      <c r="Q11" s="112"/>
      <c r="R11" s="112"/>
      <c r="S11" s="260"/>
    </row>
    <row r="12" spans="1:23" s="109" customFormat="1" ht="12" customHeight="1">
      <c r="A12" s="89">
        <v>5</v>
      </c>
      <c r="B12" s="539" t="str">
        <f>IF(Регистрация!$D$6&lt;A12," ",CONCATENATE(VLOOKUP(A12,Регистрация!$B$7:$N$39,3,FALSE)," ",VLOOKUP(A12,Регистрация!$B$7:$N$39,4,FALSE)," ","(",VLOOKUP(A12,Регистрация!$B$7:$N$39,11,FALSE),")"))</f>
        <v>Носкова Александра (Политех)</v>
      </c>
      <c r="C12" s="539"/>
      <c r="D12" s="265"/>
      <c r="E12" s="273"/>
      <c r="F12" s="99"/>
      <c r="G12" s="269"/>
      <c r="H12" s="108"/>
      <c r="I12" s="108"/>
      <c r="J12" s="108"/>
      <c r="K12" s="108"/>
      <c r="L12" s="108"/>
      <c r="M12" s="108"/>
      <c r="N12" s="108"/>
      <c r="O12" s="105"/>
      <c r="P12" s="254"/>
      <c r="Q12" s="105"/>
      <c r="R12" s="105"/>
      <c r="S12" s="132"/>
    </row>
    <row r="13" spans="1:23" s="261" customFormat="1" ht="12" customHeight="1">
      <c r="A13" s="265"/>
      <c r="B13" s="540"/>
      <c r="C13" s="540"/>
      <c r="D13" s="53"/>
      <c r="E13" s="79" t="str">
        <f>IF(D13=0," ",CONCATENATE(VLOOKUP(D13,Регистрация!$B$7:$N$39,3,FALSE)," ",VLOOKUP(D13,Регистрация!$B$7:$N$39,4,FALSE)))</f>
        <v xml:space="preserve"> </v>
      </c>
      <c r="F13" s="99"/>
      <c r="G13" s="270"/>
      <c r="H13" s="108"/>
      <c r="I13" s="108"/>
      <c r="J13" s="108"/>
      <c r="K13" s="108"/>
      <c r="L13" s="108"/>
      <c r="M13" s="119"/>
      <c r="N13" s="119"/>
      <c r="O13" s="119"/>
      <c r="P13" s="119"/>
      <c r="Q13" s="112"/>
      <c r="R13" s="112"/>
      <c r="S13" s="260"/>
    </row>
    <row r="14" spans="1:23" s="261" customFormat="1" ht="12" customHeight="1">
      <c r="A14" s="89">
        <v>9</v>
      </c>
      <c r="B14" s="539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39"/>
      <c r="D14" s="265"/>
      <c r="E14" s="274"/>
      <c r="F14" s="99"/>
      <c r="G14" s="270"/>
      <c r="H14" s="108"/>
      <c r="I14" s="96"/>
      <c r="J14" s="96"/>
      <c r="K14" s="96"/>
      <c r="L14" s="96"/>
      <c r="M14" s="108"/>
      <c r="N14" s="108"/>
      <c r="O14" s="108"/>
      <c r="P14" s="133"/>
      <c r="Q14" s="112"/>
      <c r="R14" s="112"/>
      <c r="S14" s="260"/>
      <c r="W14" s="263"/>
    </row>
    <row r="15" spans="1:23" ht="12" customHeight="1">
      <c r="A15" s="272"/>
      <c r="B15" s="540"/>
      <c r="C15" s="540"/>
      <c r="D15" s="272"/>
      <c r="E15" s="274"/>
      <c r="F15" s="99"/>
      <c r="G15" s="270"/>
      <c r="H15" s="55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23" ht="12" customHeight="1">
      <c r="A16" s="87">
        <v>3</v>
      </c>
      <c r="B16" s="539" t="str">
        <f>IF(Регистрация!$D$6&lt;A16," ",CONCATENATE(VLOOKUP(A16,Регистрация!$B$7:$N$39,3,FALSE)," ",VLOOKUP(A16,Регистрация!$B$7:$N$39,4,FALSE)," ","(",VLOOKUP(A16,Регистрация!$B$7:$N$39,11,FALSE),")"))</f>
        <v>Паранина Полина (Политех)</v>
      </c>
      <c r="C16" s="539"/>
      <c r="D16" s="265"/>
      <c r="E16" s="274"/>
      <c r="F16" s="99"/>
      <c r="G16" s="270"/>
      <c r="I16" s="269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2" customHeight="1">
      <c r="A17" s="265"/>
      <c r="B17" s="540"/>
      <c r="C17" s="540"/>
      <c r="D17" s="53"/>
      <c r="E17" s="79" t="str">
        <f>IF(D17=0," ",CONCATENATE(VLOOKUP(D17,Регистрация!$B$7:$N$39,3,FALSE)," ",VLOOKUP(D17,Регистрация!$B$7:$N$39,4,FALSE)))</f>
        <v xml:space="preserve"> </v>
      </c>
      <c r="F17" s="99"/>
      <c r="G17" s="270"/>
      <c r="H17" s="108"/>
      <c r="I17" s="270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12" customHeight="1">
      <c r="A18" s="87">
        <v>11</v>
      </c>
      <c r="B18" s="539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39"/>
      <c r="D18" s="265"/>
      <c r="E18" s="269"/>
      <c r="F18" s="99"/>
      <c r="G18" s="273"/>
      <c r="H18" s="108"/>
      <c r="I18" s="270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2" customHeight="1">
      <c r="A19" s="272"/>
      <c r="B19" s="540"/>
      <c r="C19" s="540"/>
      <c r="D19" s="265"/>
      <c r="E19" s="270"/>
      <c r="F19" s="55"/>
      <c r="G19" s="79" t="str">
        <f>IF(F19=0," ",CONCATENATE(VLOOKUP(F19,Регистрация!$B$7:$N$39,3,FALSE)," ",VLOOKUP(F19,Регистрация!$B$7:$N$39,4,FALSE)))</f>
        <v xml:space="preserve"> </v>
      </c>
      <c r="H19" s="108"/>
      <c r="I19" s="270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2" customHeight="1">
      <c r="A20" s="87">
        <v>7</v>
      </c>
      <c r="B20" s="539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39"/>
      <c r="D20" s="265"/>
      <c r="E20" s="273"/>
      <c r="F20" s="105"/>
      <c r="G20" s="274"/>
      <c r="H20" s="108"/>
      <c r="I20" s="270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2" customHeight="1">
      <c r="A21" s="272"/>
      <c r="B21" s="540"/>
      <c r="C21" s="540"/>
      <c r="D21" s="53"/>
      <c r="E21" s="79" t="str">
        <f>IF(D21=0," ",CONCATENATE(VLOOKUP(D21,Регистрация!$B$7:$N$39,3,FALSE)," ",VLOOKUP(D21,Регистрация!$B$7:$N$39,4,FALSE)))</f>
        <v xml:space="preserve"> </v>
      </c>
      <c r="F21" s="105"/>
      <c r="G21" s="274"/>
      <c r="H21" s="108"/>
      <c r="I21" s="270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12" customHeight="1">
      <c r="A22" s="87">
        <v>13</v>
      </c>
      <c r="B22" s="539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39"/>
      <c r="D22" s="265"/>
      <c r="E22" s="274"/>
      <c r="F22" s="110"/>
      <c r="G22" s="274"/>
      <c r="H22" s="110"/>
      <c r="I22" s="27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2" customHeight="1">
      <c r="A23" s="272"/>
      <c r="B23" s="540"/>
      <c r="C23" s="540"/>
      <c r="D23" s="272"/>
      <c r="E23" s="274"/>
      <c r="F23" s="77"/>
      <c r="G23" s="274"/>
      <c r="H23" s="77"/>
      <c r="I23" s="270"/>
      <c r="J23" s="55"/>
      <c r="K23" s="79" t="str">
        <f>IF(J23=0," ",CONCATENATE(VLOOKUP(J23,Регистрация!$B$7:$N$39,3,FALSE)," ",VLOOKUP(J23,Регистрация!$B$7:$N$39,4,FALSE)))</f>
        <v xml:space="preserve"> </v>
      </c>
      <c r="L23" s="77"/>
      <c r="M23" s="77"/>
      <c r="N23" s="77"/>
      <c r="O23" s="77"/>
      <c r="P23" s="77"/>
      <c r="Q23" s="77"/>
      <c r="R23" s="77"/>
    </row>
    <row r="24" spans="1:18" ht="12" customHeight="1">
      <c r="A24" s="265"/>
      <c r="B24" s="540"/>
      <c r="C24" s="540"/>
      <c r="D24" s="272"/>
      <c r="E24" s="274"/>
      <c r="F24" s="144"/>
      <c r="G24" s="274"/>
      <c r="H24" s="144"/>
      <c r="I24" s="270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2" customHeight="1">
      <c r="A25" s="89">
        <v>2</v>
      </c>
      <c r="B25" s="539" t="str">
        <f>IF(Регистрация!$D$6&lt;A25," ",CONCATENATE(VLOOKUP(A25,Регистрация!$B$7:$N$39,3,FALSE)," ",VLOOKUP(A25,Регистрация!$B$7:$N$39,4,FALSE)," ","(",VLOOKUP(A25,Регистрация!$B$7:$N$39,11,FALSE),")"))</f>
        <v>Хохлова Элина (WSKF)</v>
      </c>
      <c r="C25" s="539"/>
      <c r="D25" s="539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39"/>
      <c r="F25" s="144"/>
      <c r="G25" s="274"/>
      <c r="H25" s="144"/>
      <c r="I25" s="270"/>
      <c r="J25" s="77"/>
      <c r="K25" s="77"/>
      <c r="L25" s="77"/>
      <c r="M25" s="77"/>
      <c r="N25" s="77"/>
      <c r="O25" s="77"/>
      <c r="P25" s="77"/>
      <c r="Q25" s="77"/>
      <c r="R25" s="77"/>
    </row>
    <row r="26" spans="1:18" ht="12" customHeight="1">
      <c r="A26" s="265"/>
      <c r="B26" s="540"/>
      <c r="C26" s="540"/>
      <c r="D26" s="272"/>
      <c r="E26" s="270"/>
      <c r="F26" s="144"/>
      <c r="G26" s="274"/>
      <c r="H26" s="144"/>
      <c r="I26" s="270"/>
      <c r="J26" s="77"/>
      <c r="K26" s="77"/>
      <c r="L26" s="77"/>
      <c r="M26" s="77"/>
      <c r="N26" s="77"/>
      <c r="O26" s="77"/>
      <c r="P26" s="77"/>
      <c r="Q26" s="77"/>
      <c r="R26" s="77"/>
    </row>
    <row r="27" spans="1:18" ht="12" customHeight="1">
      <c r="A27" s="265"/>
      <c r="B27" s="540"/>
      <c r="C27" s="540"/>
      <c r="D27" s="272"/>
      <c r="E27" s="270"/>
      <c r="F27" s="55"/>
      <c r="G27" s="79" t="str">
        <f>IF(F27=0," ",CONCATENATE(VLOOKUP(F27,Регистрация!$B$7:$N$39,3,FALSE)," ",VLOOKUP(F27,Регистрация!$B$7:$N$39,4,FALSE)))</f>
        <v xml:space="preserve"> </v>
      </c>
      <c r="H27" s="144"/>
      <c r="I27" s="270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12" customHeight="1">
      <c r="A28" s="89">
        <v>6</v>
      </c>
      <c r="B28" s="539" t="str">
        <f>IF(Регистрация!$D$6&lt;A28," ",CONCATENATE(VLOOKUP(A28,Регистрация!$B$7:$N$39,3,FALSE)," ",VLOOKUP(A28,Регистрация!$B$7:$N$39,4,FALSE)," ","(",VLOOKUP(A28,Регистрация!$B$7:$N$39,11,FALSE),")"))</f>
        <v>Павлова Мария (Политех)</v>
      </c>
      <c r="C28" s="539"/>
      <c r="D28" s="272"/>
      <c r="E28" s="273"/>
      <c r="F28" s="144"/>
      <c r="G28" s="269"/>
      <c r="H28" s="144"/>
      <c r="I28" s="270"/>
      <c r="J28" s="77"/>
      <c r="K28" s="77"/>
      <c r="L28" s="77"/>
      <c r="M28" s="77"/>
      <c r="N28" s="77"/>
      <c r="O28" s="77"/>
      <c r="P28" s="77"/>
      <c r="Q28" s="77"/>
      <c r="R28" s="77"/>
    </row>
    <row r="29" spans="1:18" ht="12" customHeight="1">
      <c r="A29" s="265"/>
      <c r="B29" s="540"/>
      <c r="C29" s="540"/>
      <c r="D29" s="57"/>
      <c r="E29" s="79" t="str">
        <f>IF(D29=0," ",CONCATENATE(VLOOKUP(D29,Регистрация!$B$7:$N$39,3,FALSE)," ",VLOOKUP(D29,Регистрация!$B$7:$N$39,4,FALSE)))</f>
        <v xml:space="preserve"> </v>
      </c>
      <c r="F29" s="144"/>
      <c r="G29" s="270"/>
      <c r="H29" s="144"/>
      <c r="I29" s="270"/>
      <c r="J29" s="77"/>
      <c r="K29" s="77"/>
      <c r="L29" s="77"/>
      <c r="M29" s="77"/>
      <c r="N29" s="77"/>
      <c r="O29" s="77"/>
      <c r="P29" s="77"/>
      <c r="Q29" s="77"/>
      <c r="R29" s="77"/>
    </row>
    <row r="30" spans="1:18" ht="12" customHeight="1">
      <c r="A30" s="89">
        <v>10</v>
      </c>
      <c r="B30" s="539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39"/>
      <c r="D30" s="272"/>
      <c r="E30" s="274"/>
      <c r="F30" s="144"/>
      <c r="G30" s="270"/>
      <c r="H30" s="144"/>
      <c r="I30" s="273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2" customHeight="1">
      <c r="A31" s="272"/>
      <c r="B31" s="540"/>
      <c r="C31" s="540"/>
      <c r="D31" s="272"/>
      <c r="E31" s="274"/>
      <c r="F31" s="144"/>
      <c r="G31" s="270"/>
      <c r="H31" s="55"/>
      <c r="I31" s="79" t="str">
        <f>IF(H31=0," ",CONCATENATE(VLOOKUP(H31,Регистрация!$B$7:$N$39,3,FALSE)," ",VLOOKUP(H31,Регистрация!$B$7:$N$39,4,FALSE)))</f>
        <v xml:space="preserve"> </v>
      </c>
      <c r="J31" s="77"/>
      <c r="K31" s="77"/>
      <c r="L31" s="77"/>
      <c r="M31" s="77"/>
      <c r="N31" s="77"/>
      <c r="O31" s="77"/>
      <c r="P31" s="77"/>
      <c r="Q31" s="77"/>
      <c r="R31" s="77"/>
    </row>
    <row r="32" spans="1:18" ht="12" customHeight="1">
      <c r="A32" s="87">
        <v>4</v>
      </c>
      <c r="B32" s="539" t="str">
        <f>IF(Регистрация!$D$6&lt;A32," ",CONCATENATE(VLOOKUP(A32,Регистрация!$B$7:$N$39,3,FALSE)," ",VLOOKUP(A32,Регистрация!$B$7:$N$39,4,FALSE)," ","(",VLOOKUP(A32,Регистрация!$B$7:$N$39,11,FALSE),")"))</f>
        <v>Шайдулина Алина (Политех)</v>
      </c>
      <c r="C32" s="539"/>
      <c r="D32" s="272"/>
      <c r="E32" s="274"/>
      <c r="F32" s="144"/>
      <c r="G32" s="270"/>
      <c r="H32" s="144"/>
      <c r="I32" s="144"/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12" customHeight="1">
      <c r="A33" s="265"/>
      <c r="B33" s="540"/>
      <c r="C33" s="540"/>
      <c r="D33" s="57"/>
      <c r="E33" s="79" t="str">
        <f>IF(D33=0," ",CONCATENATE(VLOOKUP(D33,Регистрация!$B$7:$N$39,3,FALSE)," ",VLOOKUP(D33,Регистрация!$B$7:$N$39,4,FALSE)))</f>
        <v xml:space="preserve"> </v>
      </c>
      <c r="F33" s="144"/>
      <c r="G33" s="270"/>
      <c r="H33" s="144"/>
      <c r="I33" s="144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12" customHeight="1">
      <c r="A34" s="87">
        <v>12</v>
      </c>
      <c r="B34" s="539" t="str">
        <f>IF(Регистрация!$D$6&lt;A34," ",CONCATENATE(VLOOKUP(A34,Регистрация!$B$7:$N$39,3,FALSE)," ",VLOOKUP(A34,Регистрация!$B$7:$N$39,4,FALSE)," ","(",VLOOKUP(A34,Регистрация!$B$7:$N$39,11,FALSE),")"))</f>
        <v xml:space="preserve"> </v>
      </c>
      <c r="C34" s="539"/>
      <c r="D34" s="272"/>
      <c r="E34" s="269"/>
      <c r="F34" s="144"/>
      <c r="G34" s="273"/>
      <c r="H34" s="144"/>
      <c r="I34" s="144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12" customHeight="1">
      <c r="A35" s="272"/>
      <c r="B35" s="540"/>
      <c r="C35" s="540"/>
      <c r="D35" s="272"/>
      <c r="E35" s="270"/>
      <c r="F35" s="55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544" t="s">
        <v>25</v>
      </c>
      <c r="J35" s="544"/>
      <c r="K35" s="544"/>
      <c r="L35" s="77"/>
      <c r="M35" s="77"/>
      <c r="N35" s="77"/>
      <c r="O35" s="77"/>
      <c r="P35" s="77"/>
      <c r="Q35" s="77"/>
      <c r="R35" s="77"/>
    </row>
    <row r="36" spans="1:18" ht="12" customHeight="1">
      <c r="A36" s="87">
        <v>8</v>
      </c>
      <c r="B36" s="539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39"/>
      <c r="D36" s="272"/>
      <c r="E36" s="273"/>
      <c r="F36" s="144"/>
      <c r="G36" s="144"/>
      <c r="H36" s="144"/>
      <c r="I36" s="144"/>
      <c r="J36" s="77"/>
      <c r="K36" s="77"/>
      <c r="L36" s="77"/>
      <c r="M36" s="77"/>
      <c r="N36" s="77"/>
      <c r="O36" s="77"/>
      <c r="P36" s="77"/>
      <c r="Q36" s="77"/>
      <c r="R36" s="77"/>
    </row>
    <row r="37" spans="1:18" ht="12" customHeight="1">
      <c r="A37" s="272"/>
      <c r="B37" s="540"/>
      <c r="C37" s="540"/>
      <c r="D37" s="57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89">
        <f>IF(H15=0,0,IF(H15=F11,F19,F11))</f>
        <v>0</v>
      </c>
      <c r="I37" s="79" t="str">
        <f>IF(H37=0," ",CONCATENATE(VLOOKUP(H37,Регистрация!$B$7:$N$39,3,FALSE)," ",VLOOKUP(H37,Регистрация!$B$7:$N$39,4,FALSE)))</f>
        <v xml:space="preserve"> </v>
      </c>
      <c r="J37" s="108"/>
      <c r="K37" s="108"/>
      <c r="L37" s="77"/>
      <c r="M37" s="77"/>
      <c r="N37" s="77"/>
      <c r="O37" s="77"/>
      <c r="P37" s="77"/>
      <c r="Q37" s="77"/>
      <c r="R37" s="77"/>
    </row>
    <row r="38" spans="1:18" ht="12" customHeight="1">
      <c r="A38" s="87">
        <v>14</v>
      </c>
      <c r="B38" s="539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39"/>
      <c r="D38" s="142"/>
      <c r="E38" s="297"/>
      <c r="F38" s="254"/>
      <c r="G38" s="254"/>
      <c r="H38" s="99"/>
      <c r="I38" s="267"/>
      <c r="J38" s="55"/>
      <c r="K38" s="79" t="str">
        <f>IF(J38=0," ",CONCATENATE(VLOOKUP(J38,Регистрация!$B$7:$N$39,3,FALSE)," ",VLOOKUP(J38,Регистрация!$B$7:$N$39,4,FALSE)))</f>
        <v xml:space="preserve"> </v>
      </c>
      <c r="L38" s="127"/>
      <c r="M38" s="254"/>
      <c r="N38" s="254"/>
      <c r="O38" s="254"/>
      <c r="P38" s="254"/>
      <c r="Q38" s="110"/>
      <c r="R38" s="122"/>
    </row>
    <row r="39" spans="1:18" ht="12" customHeight="1">
      <c r="D39" s="277"/>
      <c r="E39" s="128"/>
      <c r="H39" s="89">
        <f>IF(H31=0,0,IF(H31=F27,F35,F27))</f>
        <v>0</v>
      </c>
      <c r="I39" s="79" t="str">
        <f>IF(H39=0," ",CONCATENATE(VLOOKUP(H39,Регистрация!$B$7:$N$39,3,FALSE)," ",VLOOKUP(H39,Регистрация!$B$7:$N$39,4,FALSE)))</f>
        <v xml:space="preserve"> </v>
      </c>
      <c r="J39" s="108"/>
      <c r="K39" s="105"/>
      <c r="L39" s="129"/>
      <c r="M39" s="129"/>
      <c r="N39" s="129"/>
      <c r="O39" s="129"/>
      <c r="P39" s="129"/>
      <c r="Q39" s="122"/>
      <c r="R39" s="122"/>
    </row>
    <row r="40" spans="1:18" ht="13">
      <c r="A40" s="526" t="s">
        <v>16</v>
      </c>
      <c r="B40" s="526"/>
      <c r="C40" s="526"/>
      <c r="D40" s="526"/>
      <c r="E40" s="526"/>
    </row>
    <row r="41" spans="1:18" ht="13">
      <c r="A41" s="126"/>
      <c r="B41" s="88" t="s">
        <v>1</v>
      </c>
      <c r="C41" s="278" t="s">
        <v>17</v>
      </c>
      <c r="D41" s="252"/>
      <c r="E41" s="253"/>
    </row>
    <row r="42" spans="1:18" ht="13.5" customHeight="1">
      <c r="A42" s="87">
        <f>J23</f>
        <v>0</v>
      </c>
      <c r="B42" s="88">
        <v>1</v>
      </c>
      <c r="C42" s="545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46"/>
      <c r="E42" s="547"/>
      <c r="F42" s="99"/>
      <c r="G42" s="111"/>
      <c r="H42" s="108"/>
      <c r="I42" s="105"/>
    </row>
    <row r="43" spans="1:18" ht="13.5" customHeight="1">
      <c r="A43" s="87">
        <f>IF(J23=0,0,IF(J23=H15,H31,H15))</f>
        <v>0</v>
      </c>
      <c r="B43" s="88">
        <v>2</v>
      </c>
      <c r="C43" s="545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6"/>
      <c r="E43" s="547"/>
    </row>
    <row r="44" spans="1:18" ht="13.5" customHeight="1">
      <c r="A44" s="87">
        <f>J38</f>
        <v>0</v>
      </c>
      <c r="B44" s="88">
        <v>3</v>
      </c>
      <c r="C44" s="545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6"/>
      <c r="E44" s="547"/>
    </row>
    <row r="45" spans="1:18" ht="13.5" customHeight="1">
      <c r="A45" s="87">
        <f>IF(J38=0,0,IF(J38=H37,H39,H37))</f>
        <v>0</v>
      </c>
      <c r="B45" s="88">
        <v>4</v>
      </c>
      <c r="C45" s="545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6"/>
      <c r="E45" s="547"/>
    </row>
    <row r="46" spans="1:18" s="251" customFormat="1" ht="26.25" customHeight="1">
      <c r="A46" s="527" t="s">
        <v>14</v>
      </c>
      <c r="B46" s="527"/>
      <c r="C46" s="527"/>
      <c r="D46" s="276"/>
      <c r="F46" s="131"/>
      <c r="G46" s="131"/>
      <c r="H46" s="131"/>
      <c r="J46" s="251" t="str">
        <f>Регистрация!N73</f>
        <v>Цыльев В.А. С1К</v>
      </c>
    </row>
    <row r="47" spans="1:18" s="251" customFormat="1" ht="13">
      <c r="A47" s="276"/>
      <c r="D47" s="276"/>
    </row>
    <row r="48" spans="1:18" s="251" customFormat="1" ht="13">
      <c r="A48" s="527" t="s">
        <v>15</v>
      </c>
      <c r="B48" s="527"/>
      <c r="C48" s="527"/>
      <c r="D48" s="276"/>
      <c r="F48" s="131"/>
      <c r="G48" s="131"/>
      <c r="H48" s="131"/>
      <c r="J48" s="251" t="str">
        <f>Регистрация!N74</f>
        <v>Орлова Е.С 3 К</v>
      </c>
    </row>
    <row r="50" s="104" customFormat="1" ht="13"/>
    <row r="51" s="104" customFormat="1" ht="13"/>
    <row r="52" s="104" customFormat="1" ht="13"/>
    <row r="53" s="104" customFormat="1" ht="13"/>
    <row r="54" s="104" customFormat="1" ht="13"/>
    <row r="55" s="104" customFormat="1" ht="13"/>
    <row r="56" s="104" customFormat="1" ht="13"/>
    <row r="57" s="104" customFormat="1" ht="13"/>
    <row r="58" s="104" customFormat="1" ht="13"/>
    <row r="59" s="104" customFormat="1" ht="13"/>
    <row r="60" s="104" customFormat="1" ht="13"/>
    <row r="61" s="104" customFormat="1" ht="13"/>
    <row r="62" s="104" customFormat="1" ht="13"/>
    <row r="63" s="104" customFormat="1" ht="13"/>
    <row r="64" s="104" customFormat="1" ht="13"/>
    <row r="65" s="104" customFormat="1" ht="13"/>
    <row r="66" s="104" customFormat="1" ht="13"/>
  </sheetData>
  <mergeCells count="44">
    <mergeCell ref="A46:C46"/>
    <mergeCell ref="A48:C48"/>
    <mergeCell ref="B8:C8"/>
    <mergeCell ref="B38:C38"/>
    <mergeCell ref="A40:E40"/>
    <mergeCell ref="C42:E42"/>
    <mergeCell ref="C43:E43"/>
    <mergeCell ref="C44:E44"/>
    <mergeCell ref="C45:E45"/>
    <mergeCell ref="B33:C33"/>
    <mergeCell ref="B34:C34"/>
    <mergeCell ref="B35:C35"/>
    <mergeCell ref="B21:C21"/>
    <mergeCell ref="B22:C22"/>
    <mergeCell ref="B23:C23"/>
    <mergeCell ref="B24:C24"/>
    <mergeCell ref="I35:K35"/>
    <mergeCell ref="B36:C36"/>
    <mergeCell ref="B37:C37"/>
    <mergeCell ref="B27:C27"/>
    <mergeCell ref="B28:C28"/>
    <mergeCell ref="B29:C29"/>
    <mergeCell ref="B30:C30"/>
    <mergeCell ref="B31:C31"/>
    <mergeCell ref="B32:C32"/>
    <mergeCell ref="B25:E25"/>
    <mergeCell ref="B26:C26"/>
    <mergeCell ref="B15:C15"/>
    <mergeCell ref="B16:C16"/>
    <mergeCell ref="B17:C17"/>
    <mergeCell ref="B18:C18"/>
    <mergeCell ref="B19:C19"/>
    <mergeCell ref="B20:C20"/>
    <mergeCell ref="B14:C14"/>
    <mergeCell ref="A1:K1"/>
    <mergeCell ref="A3:K3"/>
    <mergeCell ref="A5:C5"/>
    <mergeCell ref="D5:G5"/>
    <mergeCell ref="A7:K7"/>
    <mergeCell ref="B9:E9"/>
    <mergeCell ref="B10:C10"/>
    <mergeCell ref="B11:C11"/>
    <mergeCell ref="B12:C12"/>
    <mergeCell ref="B13:C13"/>
  </mergeCells>
  <pageMargins left="0.42" right="0.27" top="0.14000000000000001" bottom="0.18" header="0.11" footer="0.15"/>
  <pageSetup paperSize="9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W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2.453125" style="276" bestFit="1" customWidth="1"/>
    <col min="2" max="2" width="5.7265625" style="104" bestFit="1" customWidth="1"/>
    <col min="3" max="3" width="33.81640625" style="104" customWidth="1"/>
    <col min="4" max="4" width="2" style="276" bestFit="1" customWidth="1"/>
    <col min="5" max="5" width="17.54296875" style="104" customWidth="1"/>
    <col min="6" max="6" width="2" style="104" bestFit="1" customWidth="1"/>
    <col min="7" max="7" width="17.54296875" style="104" customWidth="1"/>
    <col min="8" max="8" width="2" style="104" bestFit="1" customWidth="1"/>
    <col min="9" max="9" width="17.54296875" style="104" customWidth="1"/>
    <col min="10" max="10" width="2" style="104" customWidth="1"/>
    <col min="11" max="11" width="17.54296875" style="104" customWidth="1"/>
    <col min="12" max="24" width="3.453125" style="104" customWidth="1"/>
    <col min="25" max="16384" width="9.1796875" style="104"/>
  </cols>
  <sheetData>
    <row r="1" spans="1:23" ht="14">
      <c r="A1" s="534" t="str">
        <f>Регистрация!A1</f>
        <v xml:space="preserve"> Межмуниципальные соревнования по всестилевому каратэ "Первый старт" 27 сентября 2025 г.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76"/>
      <c r="M1" s="76"/>
      <c r="N1" s="76"/>
      <c r="O1" s="76"/>
      <c r="P1" s="76"/>
      <c r="Q1" s="76"/>
      <c r="R1" s="76"/>
    </row>
    <row r="2" spans="1:23" ht="4.5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4">
      <c r="A3" s="535" t="str">
        <f>Регистрация!A2</f>
        <v>Вид спорта: ВСЕСТИЛЕВОЕ КАРАТЭ (номер-код вида спорта - 0900001411Я)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76"/>
      <c r="M3" s="76"/>
      <c r="N3" s="76"/>
      <c r="O3" s="76"/>
      <c r="P3" s="76"/>
      <c r="Q3" s="76"/>
      <c r="R3" s="76"/>
    </row>
    <row r="4" spans="1:23" ht="4.5" customHeight="1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">
      <c r="A5" s="537" t="str">
        <f>Регистрация!A3</f>
        <v>Женщины 18 +  ОК-двоеборье</v>
      </c>
      <c r="B5" s="537"/>
      <c r="C5" s="537"/>
      <c r="D5" s="537" t="str">
        <f>Регистрация!G3</f>
        <v>г. Санкт-Петербург</v>
      </c>
      <c r="E5" s="537"/>
      <c r="F5" s="537"/>
      <c r="G5" s="537"/>
      <c r="H5" s="255"/>
      <c r="I5" s="85" t="str">
        <f>Регистрация!L3</f>
        <v>27 сентября 2025</v>
      </c>
      <c r="J5" s="77"/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4.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">
      <c r="A7" s="537" t="s">
        <v>18</v>
      </c>
      <c r="B7" s="537"/>
      <c r="C7" s="537"/>
      <c r="D7" s="537"/>
      <c r="E7" s="537"/>
      <c r="F7" s="537"/>
      <c r="G7" s="537"/>
      <c r="H7" s="537"/>
      <c r="I7" s="537"/>
      <c r="J7" s="537"/>
      <c r="K7" s="537"/>
      <c r="L7" s="77"/>
      <c r="M7" s="77"/>
      <c r="N7" s="77"/>
      <c r="O7" s="77"/>
      <c r="P7" s="77"/>
      <c r="Q7" s="144"/>
      <c r="R7" s="144"/>
    </row>
    <row r="8" spans="1:23" s="261" customFormat="1" ht="12" customHeight="1">
      <c r="A8" s="265"/>
      <c r="B8" s="540"/>
      <c r="C8" s="540"/>
      <c r="D8" s="84"/>
      <c r="E8" s="111"/>
      <c r="F8" s="108"/>
      <c r="G8" s="108"/>
      <c r="H8" s="108"/>
      <c r="I8" s="84"/>
      <c r="J8" s="84"/>
      <c r="K8" s="84"/>
      <c r="L8" s="84"/>
      <c r="M8" s="108"/>
      <c r="N8" s="108"/>
      <c r="O8" s="108"/>
      <c r="P8" s="110"/>
      <c r="Q8" s="112"/>
      <c r="R8" s="112"/>
      <c r="S8" s="260"/>
    </row>
    <row r="9" spans="1:23" s="262" customFormat="1" ht="12" customHeight="1">
      <c r="A9" s="89">
        <v>2</v>
      </c>
      <c r="B9" s="539" t="str">
        <f>IF(Регистрация!$D$6&lt;A9," ",CONCATENATE(VLOOKUP(A9,Регистрация!$B$7:$N$39,3,FALSE)," ",VLOOKUP(A9,Регистрация!$B$7:$N$39,4,FALSE)," ","(",VLOOKUP(A9,Регистрация!$B$7:$N$39,11,FALSE),")"))</f>
        <v>Хохлова Элина (WSKF)</v>
      </c>
      <c r="C9" s="539"/>
      <c r="D9" s="539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39"/>
      <c r="F9" s="108"/>
      <c r="G9" s="108"/>
      <c r="H9" s="108"/>
      <c r="I9" s="105"/>
      <c r="J9" s="108"/>
      <c r="K9" s="108"/>
      <c r="L9" s="105"/>
      <c r="M9" s="108"/>
      <c r="N9" s="108"/>
      <c r="O9" s="108"/>
      <c r="P9" s="110"/>
      <c r="Q9" s="113"/>
      <c r="R9" s="113"/>
      <c r="S9" s="260"/>
    </row>
    <row r="10" spans="1:23" s="109" customFormat="1" ht="12" customHeight="1">
      <c r="A10" s="265"/>
      <c r="B10" s="540"/>
      <c r="C10" s="540"/>
      <c r="D10" s="265"/>
      <c r="E10" s="267"/>
      <c r="F10" s="108"/>
      <c r="G10" s="108"/>
      <c r="H10" s="108"/>
      <c r="I10" s="105"/>
      <c r="J10" s="108"/>
      <c r="K10" s="108"/>
      <c r="L10" s="105"/>
      <c r="M10" s="108"/>
      <c r="N10" s="108"/>
      <c r="O10" s="108"/>
      <c r="P10" s="254"/>
      <c r="Q10" s="105"/>
      <c r="R10" s="105"/>
      <c r="S10" s="132"/>
    </row>
    <row r="11" spans="1:23" s="261" customFormat="1" ht="12" customHeight="1">
      <c r="A11" s="265"/>
      <c r="B11" s="540"/>
      <c r="C11" s="540"/>
      <c r="D11" s="265"/>
      <c r="E11" s="267"/>
      <c r="F11" s="55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108"/>
      <c r="L11" s="108"/>
      <c r="M11" s="108"/>
      <c r="N11" s="108"/>
      <c r="O11" s="105"/>
      <c r="P11" s="108"/>
      <c r="Q11" s="112"/>
      <c r="R11" s="112"/>
      <c r="S11" s="260"/>
    </row>
    <row r="12" spans="1:23" s="109" customFormat="1" ht="12" customHeight="1">
      <c r="A12" s="89">
        <v>6</v>
      </c>
      <c r="B12" s="539" t="str">
        <f>IF(Регистрация!$D$6&lt;A12," ",CONCATENATE(VLOOKUP(A12,Регистрация!$B$7:$N$39,3,FALSE)," ",VLOOKUP(A12,Регистрация!$B$7:$N$39,4,FALSE)," ","(",VLOOKUP(A12,Регистрация!$B$7:$N$39,11,FALSE),")"))</f>
        <v>Павлова Мария (Политех)</v>
      </c>
      <c r="C12" s="539"/>
      <c r="D12" s="265"/>
      <c r="E12" s="273"/>
      <c r="F12" s="99"/>
      <c r="G12" s="269"/>
      <c r="H12" s="108"/>
      <c r="I12" s="108"/>
      <c r="J12" s="108"/>
      <c r="K12" s="108"/>
      <c r="L12" s="108"/>
      <c r="M12" s="108"/>
      <c r="N12" s="108"/>
      <c r="O12" s="105"/>
      <c r="P12" s="254"/>
      <c r="Q12" s="105"/>
      <c r="R12" s="105"/>
      <c r="S12" s="132"/>
    </row>
    <row r="13" spans="1:23" s="261" customFormat="1" ht="12" customHeight="1">
      <c r="A13" s="265"/>
      <c r="B13" s="540"/>
      <c r="C13" s="540"/>
      <c r="D13" s="53"/>
      <c r="E13" s="79" t="str">
        <f>IF(D13=0," ",CONCATENATE(VLOOKUP(D13,Регистрация!$B$7:$N$39,3,FALSE)," ",VLOOKUP(D13,Регистрация!$B$7:$N$39,4,FALSE)))</f>
        <v xml:space="preserve"> </v>
      </c>
      <c r="F13" s="299"/>
      <c r="G13" s="270"/>
      <c r="H13" s="108"/>
      <c r="I13" s="108"/>
      <c r="J13" s="108"/>
      <c r="K13" s="108"/>
      <c r="L13" s="108"/>
      <c r="M13" s="119"/>
      <c r="N13" s="119"/>
      <c r="O13" s="119"/>
      <c r="P13" s="119"/>
      <c r="Q13" s="112"/>
      <c r="R13" s="112"/>
      <c r="S13" s="260"/>
    </row>
    <row r="14" spans="1:23" s="261" customFormat="1" ht="12" customHeight="1">
      <c r="A14" s="89">
        <v>12</v>
      </c>
      <c r="B14" s="539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39"/>
      <c r="D14" s="265"/>
      <c r="E14" s="274"/>
      <c r="F14" s="99"/>
      <c r="G14" s="270"/>
      <c r="H14" s="108"/>
      <c r="I14" s="96"/>
      <c r="J14" s="96"/>
      <c r="K14" s="96"/>
      <c r="L14" s="96"/>
      <c r="M14" s="108"/>
      <c r="N14" s="108"/>
      <c r="O14" s="108"/>
      <c r="P14" s="133"/>
      <c r="Q14" s="112"/>
      <c r="R14" s="112"/>
      <c r="S14" s="260"/>
      <c r="W14" s="263"/>
    </row>
    <row r="15" spans="1:23" ht="12" customHeight="1">
      <c r="A15" s="272"/>
      <c r="B15" s="540"/>
      <c r="C15" s="540"/>
      <c r="D15" s="272"/>
      <c r="E15" s="274"/>
      <c r="F15" s="99"/>
      <c r="G15" s="270"/>
      <c r="H15" s="55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105"/>
      <c r="L15" s="105"/>
      <c r="M15" s="108"/>
      <c r="N15" s="108"/>
      <c r="O15" s="108"/>
      <c r="P15" s="121"/>
      <c r="Q15" s="109"/>
      <c r="R15" s="122"/>
    </row>
    <row r="16" spans="1:23" ht="12" customHeight="1">
      <c r="A16" s="87">
        <v>4</v>
      </c>
      <c r="B16" s="539" t="str">
        <f>IF(Регистрация!$D$6&lt;A16," ",CONCATENATE(VLOOKUP(A16,Регистрация!$B$7:$N$39,3,FALSE)," ",VLOOKUP(A16,Регистрация!$B$7:$N$39,4,FALSE)," ","(",VLOOKUP(A16,Регистрация!$B$7:$N$39,11,FALSE),")"))</f>
        <v>Шайдулина Алина (Политех)</v>
      </c>
      <c r="C16" s="539"/>
      <c r="D16" s="265"/>
      <c r="E16" s="274"/>
      <c r="F16" s="99"/>
      <c r="G16" s="270"/>
      <c r="I16" s="269"/>
      <c r="J16" s="123"/>
      <c r="K16" s="123"/>
      <c r="L16" s="123"/>
      <c r="M16" s="108"/>
      <c r="N16" s="108"/>
      <c r="O16" s="105"/>
      <c r="P16" s="254"/>
      <c r="Q16" s="110"/>
      <c r="R16" s="122"/>
    </row>
    <row r="17" spans="1:18" ht="12" customHeight="1">
      <c r="A17" s="265"/>
      <c r="B17" s="540"/>
      <c r="C17" s="540"/>
      <c r="D17" s="53"/>
      <c r="E17" s="79" t="str">
        <f>IF(D17=0," ",CONCATENATE(VLOOKUP(D17,Регистрация!$B$7:$N$39,3,FALSE)," ",VLOOKUP(D17,Регистрация!$B$7:$N$39,4,FALSE)))</f>
        <v xml:space="preserve"> </v>
      </c>
      <c r="F17" s="99"/>
      <c r="G17" s="300"/>
      <c r="H17" s="108"/>
      <c r="I17" s="270"/>
      <c r="J17" s="108"/>
      <c r="K17" s="108"/>
      <c r="L17" s="108"/>
      <c r="M17" s="108"/>
      <c r="N17" s="108"/>
      <c r="O17" s="105"/>
      <c r="P17" s="254"/>
      <c r="Q17" s="110"/>
      <c r="R17" s="122"/>
    </row>
    <row r="18" spans="1:18" ht="12" customHeight="1">
      <c r="A18" s="87">
        <v>10</v>
      </c>
      <c r="B18" s="539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39"/>
      <c r="D18" s="265"/>
      <c r="E18" s="269"/>
      <c r="F18" s="99"/>
      <c r="G18" s="273"/>
      <c r="H18" s="108"/>
      <c r="I18" s="270"/>
      <c r="J18" s="108"/>
      <c r="K18" s="108"/>
      <c r="L18" s="105"/>
      <c r="M18" s="108"/>
      <c r="N18" s="108"/>
      <c r="O18" s="108"/>
      <c r="P18" s="254"/>
      <c r="Q18" s="110"/>
      <c r="R18" s="122"/>
    </row>
    <row r="19" spans="1:18" ht="12" customHeight="1">
      <c r="A19" s="272"/>
      <c r="B19" s="540"/>
      <c r="C19" s="540"/>
      <c r="D19" s="265"/>
      <c r="E19" s="270"/>
      <c r="F19" s="55"/>
      <c r="G19" s="79" t="str">
        <f>IF(F19=0," ",CONCATENATE(VLOOKUP(F19,Регистрация!$B$7:$N$39,3,FALSE)," ",VLOOKUP(F19,Регистрация!$B$7:$N$39,4,FALSE)))</f>
        <v xml:space="preserve"> </v>
      </c>
      <c r="H19" s="108"/>
      <c r="I19" s="270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2" customHeight="1">
      <c r="A20" s="87">
        <v>8</v>
      </c>
      <c r="B20" s="539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39"/>
      <c r="D20" s="265"/>
      <c r="E20" s="273"/>
      <c r="F20" s="105"/>
      <c r="G20" s="274"/>
      <c r="H20" s="108"/>
      <c r="I20" s="270"/>
      <c r="J20" s="125"/>
      <c r="K20" s="125"/>
      <c r="L20" s="125"/>
      <c r="M20" s="108"/>
      <c r="N20" s="108"/>
      <c r="O20" s="105"/>
      <c r="P20" s="254"/>
      <c r="Q20" s="110"/>
      <c r="R20" s="122"/>
    </row>
    <row r="21" spans="1:18" ht="12" customHeight="1">
      <c r="A21" s="272"/>
      <c r="B21" s="540"/>
      <c r="C21" s="540"/>
      <c r="D21" s="53"/>
      <c r="E21" s="79" t="str">
        <f>IF(D21=0," ",CONCATENATE(VLOOKUP(D21,Регистрация!$B$7:$N$39,3,FALSE)," ",VLOOKUP(D21,Регистрация!$B$7:$N$39,4,FALSE)))</f>
        <v xml:space="preserve"> </v>
      </c>
      <c r="F21" s="105"/>
      <c r="G21" s="274"/>
      <c r="H21" s="108"/>
      <c r="I21" s="270"/>
      <c r="J21" s="108"/>
      <c r="K21" s="108"/>
      <c r="L21" s="108"/>
      <c r="M21" s="108"/>
      <c r="N21" s="108"/>
      <c r="O21" s="105"/>
      <c r="P21" s="254"/>
      <c r="Q21" s="110"/>
      <c r="R21" s="122"/>
    </row>
    <row r="22" spans="1:18" ht="12" customHeight="1">
      <c r="A22" s="87">
        <v>14</v>
      </c>
      <c r="B22" s="539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39"/>
      <c r="D22" s="265"/>
      <c r="E22" s="274"/>
      <c r="F22" s="110"/>
      <c r="G22" s="274"/>
      <c r="H22" s="110"/>
      <c r="I22" s="270"/>
      <c r="J22" s="110"/>
      <c r="K22" s="110"/>
      <c r="L22" s="110"/>
      <c r="M22" s="110"/>
      <c r="N22" s="254"/>
      <c r="O22" s="254"/>
      <c r="P22" s="254"/>
      <c r="Q22" s="110"/>
      <c r="R22" s="122"/>
    </row>
    <row r="23" spans="1:18" ht="12" customHeight="1">
      <c r="A23" s="272"/>
      <c r="B23" s="540"/>
      <c r="C23" s="540"/>
      <c r="D23" s="272"/>
      <c r="E23" s="274"/>
      <c r="F23" s="77"/>
      <c r="G23" s="274"/>
      <c r="H23" s="77"/>
      <c r="I23" s="270"/>
      <c r="J23" s="55"/>
      <c r="K23" s="79" t="str">
        <f>IF(J23=0," ",CONCATENATE(VLOOKUP(J23,Регистрация!$B$7:$N$39,3,FALSE)," ",VLOOKUP(J23,Регистрация!$B$7:$N$39,4,FALSE)))</f>
        <v xml:space="preserve"> </v>
      </c>
      <c r="L23" s="77"/>
      <c r="M23" s="77"/>
      <c r="N23" s="77"/>
      <c r="O23" s="77"/>
      <c r="P23" s="77"/>
      <c r="Q23" s="77"/>
      <c r="R23" s="77"/>
    </row>
    <row r="24" spans="1:18" ht="12" customHeight="1">
      <c r="A24" s="89">
        <v>1</v>
      </c>
      <c r="B24" s="539" t="str">
        <f>IF(Регистрация!$D$6&lt;A24," ",CONCATENATE(VLOOKUP(A24,Регистрация!$B$7:$N$39,3,FALSE)," ",VLOOKUP(A24,Регистрация!$B$7:$N$39,4,FALSE)," ","(",VLOOKUP(A24,Регистрация!$B$7:$N$39,11,FALSE),")"))</f>
        <v>Сугралиева Арина (Политех)</v>
      </c>
      <c r="C24" s="539"/>
      <c r="D24" s="272"/>
      <c r="E24" s="274"/>
      <c r="F24" s="144"/>
      <c r="G24" s="274"/>
      <c r="H24" s="144"/>
      <c r="I24" s="270"/>
      <c r="J24" s="77"/>
      <c r="K24" s="77"/>
      <c r="L24" s="77"/>
      <c r="M24" s="77"/>
      <c r="N24" s="77"/>
      <c r="O24" s="77"/>
      <c r="P24" s="77"/>
      <c r="Q24" s="77"/>
      <c r="R24" s="77"/>
    </row>
    <row r="25" spans="1:18" ht="12" customHeight="1">
      <c r="A25" s="265"/>
      <c r="B25" s="540"/>
      <c r="C25" s="540"/>
      <c r="D25" s="57"/>
      <c r="E25" s="79" t="str">
        <f>IF(D25=0," ",CONCATENATE(VLOOKUP(D25,Регистрация!$B$7:$N$39,3,FALSE)," ",VLOOKUP(D25,Регистрация!$B$7:$N$39,4,FALSE)))</f>
        <v xml:space="preserve"> </v>
      </c>
      <c r="F25" s="144"/>
      <c r="G25" s="274"/>
      <c r="H25" s="144"/>
      <c r="I25" s="270"/>
      <c r="J25" s="77"/>
      <c r="K25" s="77"/>
      <c r="L25" s="77"/>
      <c r="M25" s="77"/>
      <c r="N25" s="77"/>
      <c r="O25" s="77"/>
      <c r="P25" s="77"/>
      <c r="Q25" s="77"/>
      <c r="R25" s="77"/>
    </row>
    <row r="26" spans="1:18" ht="12" customHeight="1">
      <c r="A26" s="89">
        <v>9</v>
      </c>
      <c r="B26" s="539" t="str">
        <f>IF(Регистрация!$D$6&lt;A26," ",CONCATENATE(VLOOKUP(A26,Регистрация!$B$7:$N$39,3,FALSE)," ",VLOOKUP(A26,Регистрация!$B$7:$N$39,4,FALSE)," ","(",VLOOKUP(A26,Регистрация!$B$7:$N$39,11,FALSE),")"))</f>
        <v xml:space="preserve"> </v>
      </c>
      <c r="C26" s="539"/>
      <c r="D26" s="272"/>
      <c r="E26" s="269"/>
      <c r="F26" s="144"/>
      <c r="G26" s="274"/>
      <c r="H26" s="144"/>
      <c r="I26" s="270"/>
      <c r="J26" s="77"/>
      <c r="K26" s="77"/>
      <c r="L26" s="77"/>
      <c r="M26" s="77"/>
      <c r="N26" s="77"/>
      <c r="O26" s="77"/>
      <c r="P26" s="77"/>
      <c r="Q26" s="77"/>
      <c r="R26" s="77"/>
    </row>
    <row r="27" spans="1:18" ht="12" customHeight="1">
      <c r="A27" s="265"/>
      <c r="B27" s="540"/>
      <c r="C27" s="540"/>
      <c r="D27" s="272"/>
      <c r="E27" s="270"/>
      <c r="F27" s="55"/>
      <c r="G27" s="79" t="str">
        <f>IF(F27=0," ",CONCATENATE(VLOOKUP(F27,Регистрация!$B$7:$N$39,3,FALSE)," ",VLOOKUP(F27,Регистрация!$B$7:$N$39,4,FALSE)))</f>
        <v xml:space="preserve"> </v>
      </c>
      <c r="H27" s="144"/>
      <c r="I27" s="270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12" customHeight="1">
      <c r="A28" s="89">
        <v>5</v>
      </c>
      <c r="B28" s="539" t="str">
        <f>IF(Регистрация!$D$6&lt;A28," ",CONCATENATE(VLOOKUP(A28,Регистрация!$B$7:$N$39,3,FALSE)," ",VLOOKUP(A28,Регистрация!$B$7:$N$39,4,FALSE)," ","(",VLOOKUP(A28,Регистрация!$B$7:$N$39,11,FALSE),")"))</f>
        <v>Носкова Александра (Политех)</v>
      </c>
      <c r="C28" s="539"/>
      <c r="D28" s="272"/>
      <c r="E28" s="273"/>
      <c r="F28" s="144"/>
      <c r="G28" s="269"/>
      <c r="H28" s="144"/>
      <c r="I28" s="270"/>
      <c r="J28" s="77"/>
      <c r="K28" s="77"/>
      <c r="L28" s="77"/>
      <c r="M28" s="77"/>
      <c r="N28" s="77"/>
      <c r="O28" s="77"/>
      <c r="P28" s="77"/>
      <c r="Q28" s="77"/>
      <c r="R28" s="77"/>
    </row>
    <row r="29" spans="1:18" ht="12" customHeight="1">
      <c r="A29" s="265"/>
      <c r="B29" s="540"/>
      <c r="C29" s="540"/>
      <c r="D29" s="57"/>
      <c r="E29" s="79" t="str">
        <f>IF(D29=0," ",CONCATENATE(VLOOKUP(D29,Регистрация!$B$7:$N$39,3,FALSE)," ",VLOOKUP(D29,Регистрация!$B$7:$N$39,4,FALSE)))</f>
        <v xml:space="preserve"> </v>
      </c>
      <c r="F29" s="144"/>
      <c r="G29" s="270"/>
      <c r="H29" s="144"/>
      <c r="I29" s="270"/>
      <c r="J29" s="77"/>
      <c r="K29" s="77"/>
      <c r="L29" s="77"/>
      <c r="M29" s="77"/>
      <c r="N29" s="77"/>
      <c r="O29" s="77"/>
      <c r="P29" s="77"/>
      <c r="Q29" s="77"/>
      <c r="R29" s="77"/>
    </row>
    <row r="30" spans="1:18" ht="12" customHeight="1">
      <c r="A30" s="89">
        <v>13</v>
      </c>
      <c r="B30" s="539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39"/>
      <c r="D30" s="272"/>
      <c r="E30" s="274"/>
      <c r="F30" s="144"/>
      <c r="G30" s="270"/>
      <c r="H30" s="144"/>
      <c r="I30" s="273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2" customHeight="1">
      <c r="A31" s="272"/>
      <c r="B31" s="540"/>
      <c r="C31" s="540"/>
      <c r="D31" s="272"/>
      <c r="E31" s="274"/>
      <c r="F31" s="144"/>
      <c r="G31" s="270"/>
      <c r="H31" s="55"/>
      <c r="I31" s="79" t="str">
        <f>IF(H31=0," ",CONCATENATE(VLOOKUP(H31,Регистрация!$B$7:$N$39,3,FALSE)," ",VLOOKUP(H31,Регистрация!$B$7:$N$39,4,FALSE)))</f>
        <v xml:space="preserve"> </v>
      </c>
      <c r="J31" s="77"/>
      <c r="K31" s="77"/>
      <c r="L31" s="77"/>
      <c r="M31" s="77"/>
      <c r="N31" s="77"/>
      <c r="O31" s="77"/>
      <c r="P31" s="77"/>
      <c r="Q31" s="77"/>
      <c r="R31" s="77"/>
    </row>
    <row r="32" spans="1:18" ht="12" customHeight="1">
      <c r="A32" s="87">
        <v>3</v>
      </c>
      <c r="B32" s="539" t="str">
        <f>IF(Регистрация!$D$6&lt;A32," ",CONCATENATE(VLOOKUP(A32,Регистрация!$B$7:$N$39,3,FALSE)," ",VLOOKUP(A32,Регистрация!$B$7:$N$39,4,FALSE)," ","(",VLOOKUP(A32,Регистрация!$B$7:$N$39,11,FALSE),")"))</f>
        <v>Паранина Полина (Политех)</v>
      </c>
      <c r="C32" s="539"/>
      <c r="D32" s="272"/>
      <c r="E32" s="274"/>
      <c r="F32" s="144"/>
      <c r="G32" s="270"/>
      <c r="H32" s="144"/>
      <c r="I32" s="144"/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12" customHeight="1">
      <c r="A33" s="265"/>
      <c r="B33" s="540"/>
      <c r="C33" s="540"/>
      <c r="D33" s="57"/>
      <c r="E33" s="79" t="str">
        <f>IF(D33=0," ",CONCATENATE(VLOOKUP(D33,Регистрация!$B$7:$N$39,3,FALSE)," ",VLOOKUP(D33,Регистрация!$B$7:$N$39,4,FALSE)))</f>
        <v xml:space="preserve"> </v>
      </c>
      <c r="F33" s="144"/>
      <c r="G33" s="270"/>
      <c r="H33" s="144"/>
      <c r="I33" s="144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12" customHeight="1">
      <c r="A34" s="87">
        <v>11</v>
      </c>
      <c r="B34" s="539" t="str">
        <f>IF(Регистрация!$D$6&lt;A34," ",CONCATENATE(VLOOKUP(A34,Регистрация!$B$7:$N$39,3,FALSE)," ",VLOOKUP(A34,Регистрация!$B$7:$N$39,4,FALSE)," ","(",VLOOKUP(A34,Регистрация!$B$7:$N$39,11,FALSE),")"))</f>
        <v xml:space="preserve"> </v>
      </c>
      <c r="C34" s="539"/>
      <c r="D34" s="272"/>
      <c r="E34" s="269"/>
      <c r="F34" s="144"/>
      <c r="G34" s="273"/>
      <c r="H34" s="144"/>
      <c r="I34" s="144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12" customHeight="1">
      <c r="A35" s="272"/>
      <c r="B35" s="540"/>
      <c r="C35" s="540"/>
      <c r="D35" s="272"/>
      <c r="E35" s="270"/>
      <c r="F35" s="55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544" t="s">
        <v>25</v>
      </c>
      <c r="J35" s="544"/>
      <c r="K35" s="544"/>
      <c r="L35" s="77"/>
      <c r="M35" s="77"/>
      <c r="N35" s="77"/>
      <c r="O35" s="77"/>
      <c r="P35" s="77"/>
      <c r="Q35" s="77"/>
      <c r="R35" s="77"/>
    </row>
    <row r="36" spans="1:18" ht="12" customHeight="1">
      <c r="A36" s="87">
        <v>7</v>
      </c>
      <c r="B36" s="539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39"/>
      <c r="D36" s="272"/>
      <c r="E36" s="273"/>
      <c r="F36" s="144"/>
      <c r="G36" s="144"/>
      <c r="H36" s="144"/>
      <c r="I36" s="144"/>
      <c r="J36" s="77"/>
      <c r="K36" s="77"/>
      <c r="L36" s="77"/>
      <c r="M36" s="77"/>
      <c r="N36" s="77"/>
      <c r="O36" s="77"/>
      <c r="P36" s="77"/>
      <c r="Q36" s="77"/>
      <c r="R36" s="77"/>
    </row>
    <row r="37" spans="1:18" ht="12" customHeight="1">
      <c r="A37" s="272"/>
      <c r="B37" s="540"/>
      <c r="C37" s="540"/>
      <c r="D37" s="57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89">
        <f>IF(H15=0,0,IF(H15=F11,F19,F11))</f>
        <v>0</v>
      </c>
      <c r="I37" s="79" t="str">
        <f>IF(H37=0," ",CONCATENATE(VLOOKUP(H37,Регистрация!$B$7:$N$39,3,FALSE)," ",VLOOKUP(H37,Регистрация!$B$7:$N$39,4,FALSE)))</f>
        <v xml:space="preserve"> </v>
      </c>
      <c r="J37" s="108"/>
      <c r="K37" s="108"/>
      <c r="L37" s="77"/>
      <c r="M37" s="77"/>
      <c r="N37" s="77"/>
      <c r="O37" s="77"/>
      <c r="P37" s="77"/>
      <c r="Q37" s="77"/>
      <c r="R37" s="77"/>
    </row>
    <row r="38" spans="1:18" ht="12" customHeight="1">
      <c r="A38" s="87">
        <v>15</v>
      </c>
      <c r="B38" s="539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39"/>
      <c r="D38" s="142"/>
      <c r="E38" s="110"/>
      <c r="F38" s="254"/>
      <c r="G38" s="254"/>
      <c r="H38" s="99"/>
      <c r="I38" s="267"/>
      <c r="J38" s="55"/>
      <c r="K38" s="79" t="str">
        <f>IF(J38=0," ",CONCATENATE(VLOOKUP(J38,Регистрация!$B$7:$N$39,3,FALSE)," ",VLOOKUP(J38,Регистрация!$B$7:$N$39,4,FALSE)))</f>
        <v xml:space="preserve"> </v>
      </c>
      <c r="L38" s="127"/>
      <c r="M38" s="254"/>
      <c r="N38" s="254"/>
      <c r="O38" s="254"/>
      <c r="P38" s="254"/>
      <c r="Q38" s="110"/>
      <c r="R38" s="122"/>
    </row>
    <row r="39" spans="1:18" ht="12" customHeight="1">
      <c r="D39" s="277"/>
      <c r="E39" s="128"/>
      <c r="H39" s="89">
        <f>IF(H31=0,0,IF(H31=F27,F35,F27))</f>
        <v>0</v>
      </c>
      <c r="I39" s="79" t="str">
        <f>IF(H39=0," ",CONCATENATE(VLOOKUP(H39,Регистрация!$B$7:$N$39,3,FALSE)," ",VLOOKUP(H39,Регистрация!$B$7:$N$39,4,FALSE)))</f>
        <v xml:space="preserve"> </v>
      </c>
      <c r="J39" s="108"/>
      <c r="K39" s="105"/>
      <c r="L39" s="129"/>
      <c r="M39" s="129"/>
      <c r="N39" s="129"/>
      <c r="O39" s="129"/>
      <c r="P39" s="129"/>
      <c r="Q39" s="122"/>
      <c r="R39" s="122"/>
    </row>
    <row r="40" spans="1:18" ht="13">
      <c r="A40" s="526" t="s">
        <v>16</v>
      </c>
      <c r="B40" s="526"/>
      <c r="C40" s="526"/>
      <c r="D40" s="526"/>
      <c r="E40" s="526"/>
    </row>
    <row r="41" spans="1:18" ht="13">
      <c r="A41" s="126"/>
      <c r="B41" s="88" t="s">
        <v>1</v>
      </c>
      <c r="C41" s="278" t="s">
        <v>17</v>
      </c>
      <c r="D41" s="252"/>
      <c r="E41" s="253"/>
    </row>
    <row r="42" spans="1:18" ht="13.5" customHeight="1">
      <c r="A42" s="87">
        <f>J23</f>
        <v>0</v>
      </c>
      <c r="B42" s="88">
        <v>1</v>
      </c>
      <c r="C42" s="545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46"/>
      <c r="E42" s="547"/>
      <c r="F42" s="99"/>
      <c r="G42" s="111"/>
      <c r="H42" s="108"/>
      <c r="I42" s="105"/>
    </row>
    <row r="43" spans="1:18" ht="13.5" customHeight="1">
      <c r="A43" s="87">
        <f>IF(J23=0,0,IF(J23=H15,H31,H15))</f>
        <v>0</v>
      </c>
      <c r="B43" s="88">
        <v>2</v>
      </c>
      <c r="C43" s="545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6"/>
      <c r="E43" s="547"/>
    </row>
    <row r="44" spans="1:18" ht="13.5" customHeight="1">
      <c r="A44" s="87">
        <f>J38</f>
        <v>0</v>
      </c>
      <c r="B44" s="88">
        <v>3</v>
      </c>
      <c r="C44" s="545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6"/>
      <c r="E44" s="547"/>
    </row>
    <row r="45" spans="1:18" ht="13.5" customHeight="1">
      <c r="A45" s="87">
        <f>IF(J38=0,0,IF(J38=H37,H39,H37))</f>
        <v>0</v>
      </c>
      <c r="B45" s="88">
        <v>4</v>
      </c>
      <c r="C45" s="545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6"/>
      <c r="E45" s="547"/>
    </row>
    <row r="46" spans="1:18" s="251" customFormat="1" ht="22.5" customHeight="1">
      <c r="A46" s="527" t="s">
        <v>14</v>
      </c>
      <c r="B46" s="527"/>
      <c r="C46" s="527"/>
      <c r="D46" s="276"/>
      <c r="F46" s="131"/>
      <c r="G46" s="131"/>
      <c r="H46" s="131"/>
      <c r="J46" s="251" t="str">
        <f>Регистрация!N73</f>
        <v>Цыльев В.А. С1К</v>
      </c>
    </row>
    <row r="47" spans="1:18" s="251" customFormat="1" ht="13">
      <c r="A47" s="276"/>
      <c r="D47" s="276"/>
    </row>
    <row r="48" spans="1:18" s="251" customFormat="1" ht="13">
      <c r="A48" s="527" t="s">
        <v>15</v>
      </c>
      <c r="B48" s="527"/>
      <c r="C48" s="527"/>
      <c r="D48" s="276"/>
      <c r="F48" s="131"/>
      <c r="G48" s="131"/>
      <c r="H48" s="131"/>
      <c r="J48" s="251" t="str">
        <f>Регистрация!N74</f>
        <v>Орлова Е.С 3 К</v>
      </c>
    </row>
    <row r="50" s="104" customFormat="1" ht="13"/>
    <row r="51" s="104" customFormat="1" ht="13"/>
    <row r="52" s="104" customFormat="1" ht="13"/>
    <row r="53" s="104" customFormat="1" ht="13"/>
    <row r="54" s="104" customFormat="1" ht="13"/>
    <row r="55" s="104" customFormat="1" ht="13"/>
    <row r="56" s="104" customFormat="1" ht="13"/>
    <row r="57" s="104" customFormat="1" ht="13"/>
    <row r="58" s="104" customFormat="1" ht="13"/>
    <row r="59" s="104" customFormat="1" ht="13"/>
    <row r="60" s="104" customFormat="1" ht="13"/>
    <row r="61" s="104" customFormat="1" ht="13"/>
    <row r="62" s="104" customFormat="1" ht="13"/>
    <row r="63" s="104" customFormat="1" ht="13"/>
    <row r="64" s="104" customFormat="1" ht="13"/>
    <row r="65" s="104" customFormat="1" ht="13"/>
    <row r="66" s="104" customFormat="1" ht="13"/>
  </sheetData>
  <mergeCells count="44">
    <mergeCell ref="I35:K35"/>
    <mergeCell ref="B36:C36"/>
    <mergeCell ref="A46:C46"/>
    <mergeCell ref="A48:C48"/>
    <mergeCell ref="B38:C38"/>
    <mergeCell ref="A40:E40"/>
    <mergeCell ref="C42:E42"/>
    <mergeCell ref="C43:E43"/>
    <mergeCell ref="C44:E44"/>
    <mergeCell ref="C45:E45"/>
    <mergeCell ref="B37:C37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3:C23"/>
    <mergeCell ref="B24:C24"/>
    <mergeCell ref="B15:C15"/>
    <mergeCell ref="B16:C16"/>
    <mergeCell ref="B17:C17"/>
    <mergeCell ref="B18:C18"/>
    <mergeCell ref="B19:C19"/>
    <mergeCell ref="B25:C25"/>
    <mergeCell ref="B14:C14"/>
    <mergeCell ref="A1:K1"/>
    <mergeCell ref="A3:K3"/>
    <mergeCell ref="A5:C5"/>
    <mergeCell ref="D5:G5"/>
    <mergeCell ref="A7:K7"/>
    <mergeCell ref="B8:C8"/>
    <mergeCell ref="B9:E9"/>
    <mergeCell ref="B10:C10"/>
    <mergeCell ref="B11:C11"/>
    <mergeCell ref="B12:C12"/>
    <mergeCell ref="B13:C13"/>
    <mergeCell ref="B20:C20"/>
    <mergeCell ref="B21:C21"/>
    <mergeCell ref="B22:C22"/>
  </mergeCells>
  <pageMargins left="0.55000000000000004" right="0.16" top="0.17" bottom="0.17" header="0.11" footer="0.15"/>
  <pageSetup paperSize="9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W67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2.453125" style="276" bestFit="1" customWidth="1"/>
    <col min="2" max="2" width="5.7265625" style="104" bestFit="1" customWidth="1"/>
    <col min="3" max="3" width="33.81640625" style="104" customWidth="1"/>
    <col min="4" max="4" width="2" style="276" bestFit="1" customWidth="1"/>
    <col min="5" max="5" width="17.54296875" style="104" customWidth="1"/>
    <col min="6" max="6" width="2" style="104" bestFit="1" customWidth="1"/>
    <col min="7" max="7" width="17.54296875" style="104" customWidth="1"/>
    <col min="8" max="8" width="2" style="104" bestFit="1" customWidth="1"/>
    <col min="9" max="9" width="17.54296875" style="104" customWidth="1"/>
    <col min="10" max="10" width="2" style="104" customWidth="1"/>
    <col min="11" max="11" width="17.54296875" style="104" customWidth="1"/>
    <col min="12" max="24" width="3.453125" style="104" customWidth="1"/>
    <col min="25" max="16384" width="9.1796875" style="104"/>
  </cols>
  <sheetData>
    <row r="1" spans="1:23" ht="14">
      <c r="A1" s="534" t="str">
        <f>Регистрация!A1</f>
        <v xml:space="preserve"> Межмуниципальные соревнования по всестилевому каратэ "Первый старт" 27 сентября 2025 г.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76"/>
      <c r="M1" s="76"/>
      <c r="N1" s="76"/>
      <c r="O1" s="76"/>
      <c r="P1" s="76"/>
      <c r="Q1" s="76"/>
      <c r="R1" s="76"/>
    </row>
    <row r="2" spans="1:23" ht="5.25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  <c r="K2" s="76"/>
      <c r="L2" s="76"/>
      <c r="M2" s="76"/>
      <c r="N2" s="76"/>
      <c r="O2" s="76"/>
      <c r="P2" s="76"/>
      <c r="Q2" s="76"/>
      <c r="R2" s="76"/>
    </row>
    <row r="3" spans="1:23" ht="14">
      <c r="A3" s="535" t="str">
        <f>Регистрация!A2</f>
        <v>Вид спорта: ВСЕСТИЛЕВОЕ КАРАТЭ (номер-код вида спорта - 0900001411Я)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76"/>
      <c r="M3" s="76"/>
      <c r="N3" s="76"/>
      <c r="O3" s="76"/>
      <c r="P3" s="76"/>
      <c r="Q3" s="76"/>
      <c r="R3" s="76"/>
    </row>
    <row r="4" spans="1:23" ht="5.25" customHeight="1">
      <c r="A4" s="84"/>
      <c r="B4" s="77"/>
      <c r="C4" s="77"/>
      <c r="D4" s="84"/>
      <c r="E4" s="77"/>
      <c r="F4" s="77"/>
      <c r="G4" s="77"/>
      <c r="H4" s="77"/>
      <c r="I4" s="77"/>
      <c r="J4" s="78"/>
      <c r="K4" s="77"/>
      <c r="L4" s="77"/>
      <c r="M4" s="77"/>
      <c r="N4" s="77"/>
      <c r="O4" s="77"/>
      <c r="P4" s="77"/>
      <c r="Q4" s="77"/>
      <c r="R4" s="77"/>
    </row>
    <row r="5" spans="1:23" ht="13">
      <c r="A5" s="537" t="str">
        <f>Регистрация!A3</f>
        <v>Женщины 18 +  ОК-двоеборье</v>
      </c>
      <c r="B5" s="537"/>
      <c r="C5" s="537"/>
      <c r="D5" s="537" t="str">
        <f>Регистрация!G3</f>
        <v>г. Санкт-Петербург</v>
      </c>
      <c r="E5" s="537"/>
      <c r="F5" s="537"/>
      <c r="G5" s="537"/>
      <c r="H5" s="255"/>
      <c r="I5" s="85" t="str">
        <f>Регистрация!L3</f>
        <v>27 сентября 2025</v>
      </c>
      <c r="J5" s="77"/>
      <c r="K5" s="86">
        <f>Регистрация!N3</f>
        <v>0</v>
      </c>
      <c r="L5" s="77"/>
      <c r="M5" s="77"/>
      <c r="N5" s="77"/>
      <c r="O5" s="77"/>
      <c r="P5" s="77"/>
      <c r="Q5" s="144"/>
      <c r="R5" s="144"/>
    </row>
    <row r="6" spans="1:23" ht="5.25" customHeight="1">
      <c r="A6" s="255"/>
      <c r="B6" s="255"/>
      <c r="C6" s="255"/>
      <c r="D6" s="255"/>
      <c r="E6" s="255"/>
      <c r="F6" s="255"/>
      <c r="G6" s="255"/>
      <c r="H6" s="255"/>
      <c r="J6" s="77"/>
      <c r="K6" s="77"/>
      <c r="L6" s="77"/>
      <c r="M6" s="77"/>
      <c r="N6" s="77"/>
      <c r="O6" s="77"/>
      <c r="P6" s="77"/>
      <c r="Q6" s="144"/>
      <c r="R6" s="144"/>
    </row>
    <row r="7" spans="1:23" ht="13">
      <c r="A7" s="537" t="s">
        <v>18</v>
      </c>
      <c r="B7" s="537"/>
      <c r="C7" s="537"/>
      <c r="D7" s="537"/>
      <c r="E7" s="537"/>
      <c r="F7" s="537"/>
      <c r="G7" s="537"/>
      <c r="H7" s="537"/>
      <c r="I7" s="537"/>
      <c r="J7" s="537"/>
      <c r="K7" s="537"/>
      <c r="L7" s="77"/>
      <c r="M7" s="77"/>
      <c r="N7" s="77"/>
      <c r="O7" s="77"/>
      <c r="P7" s="77"/>
      <c r="Q7" s="144"/>
      <c r="R7" s="144"/>
    </row>
    <row r="8" spans="1:23" s="109" customFormat="1" ht="6.75" customHeight="1">
      <c r="A8" s="84"/>
      <c r="B8" s="144"/>
      <c r="C8" s="105"/>
      <c r="D8" s="264"/>
      <c r="E8" s="107"/>
      <c r="F8" s="105"/>
      <c r="G8" s="108"/>
      <c r="H8" s="108"/>
      <c r="J8" s="108"/>
      <c r="K8" s="108"/>
      <c r="L8" s="108"/>
      <c r="M8" s="108"/>
      <c r="N8" s="108"/>
      <c r="O8" s="105"/>
      <c r="P8" s="110"/>
      <c r="Q8" s="105"/>
      <c r="R8" s="105"/>
      <c r="S8" s="132"/>
    </row>
    <row r="9" spans="1:23" s="261" customFormat="1" ht="12" customHeight="1">
      <c r="A9" s="89">
        <v>1</v>
      </c>
      <c r="B9" s="539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39"/>
      <c r="D9" s="84"/>
      <c r="E9" s="137"/>
      <c r="F9" s="108"/>
      <c r="G9" s="108"/>
      <c r="H9" s="108"/>
      <c r="I9" s="84"/>
      <c r="J9" s="84"/>
      <c r="K9" s="84"/>
      <c r="L9" s="84"/>
      <c r="M9" s="108"/>
      <c r="N9" s="108"/>
      <c r="O9" s="108"/>
      <c r="P9" s="110"/>
      <c r="Q9" s="112"/>
      <c r="R9" s="112"/>
      <c r="S9" s="260"/>
    </row>
    <row r="10" spans="1:23" s="262" customFormat="1" ht="12" customHeight="1">
      <c r="A10" s="265"/>
      <c r="B10" s="540"/>
      <c r="C10" s="540"/>
      <c r="D10" s="53"/>
      <c r="E10" s="79" t="str">
        <f>IF(D10=0," ",CONCATENATE(VLOOKUP(D10,Регистрация!$B$7:$N$39,3,FALSE)," ",VLOOKUP(D10,Регистрация!$B$7:$N$39,4,FALSE)))</f>
        <v xml:space="preserve"> </v>
      </c>
      <c r="F10" s="301"/>
      <c r="G10" s="108"/>
      <c r="H10" s="108"/>
      <c r="I10" s="105"/>
      <c r="J10" s="108"/>
      <c r="K10" s="108"/>
      <c r="L10" s="105"/>
      <c r="M10" s="108"/>
      <c r="N10" s="108"/>
      <c r="O10" s="108"/>
      <c r="P10" s="110"/>
      <c r="Q10" s="113"/>
      <c r="R10" s="113"/>
      <c r="S10" s="260"/>
    </row>
    <row r="11" spans="1:23" s="109" customFormat="1" ht="12" customHeight="1">
      <c r="A11" s="89">
        <v>9</v>
      </c>
      <c r="B11" s="539" t="str">
        <f>IF(Регистрация!$D$6&lt;A11," ",CONCATENATE(VLOOKUP(A11,Регистрация!$B$7:$N$39,3,FALSE)," ",VLOOKUP(A11,Регистрация!$B$7:$N$39,4,FALSE)," ","(",VLOOKUP(A11,Регистрация!$B$7:$N$39,11,FALSE),")"))</f>
        <v xml:space="preserve"> </v>
      </c>
      <c r="C11" s="539"/>
      <c r="D11" s="51"/>
      <c r="E11" s="269"/>
      <c r="F11" s="108"/>
      <c r="G11" s="108"/>
      <c r="H11" s="108"/>
      <c r="I11" s="105"/>
      <c r="J11" s="108"/>
      <c r="K11" s="108"/>
      <c r="L11" s="105"/>
      <c r="M11" s="108"/>
      <c r="N11" s="108"/>
      <c r="O11" s="108"/>
      <c r="P11" s="254"/>
      <c r="Q11" s="105"/>
      <c r="R11" s="105"/>
      <c r="S11" s="132"/>
    </row>
    <row r="12" spans="1:23" s="261" customFormat="1" ht="12" customHeight="1">
      <c r="A12" s="265"/>
      <c r="B12" s="540"/>
      <c r="C12" s="540"/>
      <c r="D12" s="51"/>
      <c r="E12" s="270"/>
      <c r="F12" s="55"/>
      <c r="G12" s="79" t="str">
        <f>IF(F12=0," ",CONCATENATE(VLOOKUP(F12,Регистрация!$B$7:$N$39,3,FALSE)," ",VLOOKUP(F12,Регистрация!$B$7:$N$39,4,FALSE)))</f>
        <v xml:space="preserve"> </v>
      </c>
      <c r="H12" s="108"/>
      <c r="I12" s="108"/>
      <c r="J12" s="108"/>
      <c r="K12" s="108"/>
      <c r="L12" s="108"/>
      <c r="M12" s="108"/>
      <c r="N12" s="108"/>
      <c r="O12" s="105"/>
      <c r="P12" s="108"/>
      <c r="Q12" s="112"/>
      <c r="R12" s="112"/>
      <c r="S12" s="260"/>
    </row>
    <row r="13" spans="1:23" s="109" customFormat="1" ht="12" customHeight="1">
      <c r="A13" s="89">
        <v>5</v>
      </c>
      <c r="B13" s="539" t="str">
        <f>IF(Регистрация!$D$6&lt;A13," ",CONCATENATE(VLOOKUP(A13,Регистрация!$B$7:$N$39,3,FALSE)," ",VLOOKUP(A13,Регистрация!$B$7:$N$39,4,FALSE)," ","(",VLOOKUP(A13,Регистрация!$B$7:$N$39,11,FALSE),")"))</f>
        <v>Носкова Александра (Политех)</v>
      </c>
      <c r="C13" s="539"/>
      <c r="D13" s="51"/>
      <c r="E13" s="273"/>
      <c r="F13" s="256"/>
      <c r="G13" s="269"/>
      <c r="H13" s="108"/>
      <c r="I13" s="108"/>
      <c r="J13" s="108"/>
      <c r="K13" s="108"/>
      <c r="L13" s="108"/>
      <c r="M13" s="108"/>
      <c r="N13" s="108"/>
      <c r="O13" s="105"/>
      <c r="P13" s="254"/>
      <c r="Q13" s="105"/>
      <c r="R13" s="105"/>
      <c r="S13" s="132"/>
    </row>
    <row r="14" spans="1:23" s="261" customFormat="1" ht="12" customHeight="1">
      <c r="A14" s="265"/>
      <c r="B14" s="540"/>
      <c r="C14" s="540"/>
      <c r="D14" s="53"/>
      <c r="E14" s="79" t="str">
        <f>IF(D14=0," ",CONCATENATE(VLOOKUP(D14,Регистрация!$B$7:$N$39,3,FALSE)," ",VLOOKUP(D14,Регистрация!$B$7:$N$39,4,FALSE)))</f>
        <v xml:space="preserve"> </v>
      </c>
      <c r="F14" s="54"/>
      <c r="G14" s="270"/>
      <c r="H14" s="108"/>
      <c r="I14" s="108"/>
      <c r="J14" s="108"/>
      <c r="K14" s="108"/>
      <c r="L14" s="108"/>
      <c r="M14" s="119"/>
      <c r="N14" s="119"/>
      <c r="O14" s="119"/>
      <c r="P14" s="119"/>
      <c r="Q14" s="112"/>
      <c r="R14" s="112"/>
      <c r="S14" s="260"/>
    </row>
    <row r="15" spans="1:23" s="261" customFormat="1" ht="12" customHeight="1">
      <c r="A15" s="89">
        <v>13</v>
      </c>
      <c r="B15" s="539" t="str">
        <f>IF(Регистрация!$D$6&lt;A15," ",CONCATENATE(VLOOKUP(A15,Регистрация!$B$7:$N$39,3,FALSE)," ",VLOOKUP(A15,Регистрация!$B$7:$N$39,4,FALSE)," ","(",VLOOKUP(A15,Регистрация!$B$7:$N$39,11,FALSE),")"))</f>
        <v xml:space="preserve"> </v>
      </c>
      <c r="C15" s="539"/>
      <c r="D15" s="51"/>
      <c r="E15" s="274"/>
      <c r="F15" s="256"/>
      <c r="G15" s="270"/>
      <c r="H15" s="108"/>
      <c r="I15" s="96"/>
      <c r="J15" s="96"/>
      <c r="K15" s="96"/>
      <c r="L15" s="96"/>
      <c r="M15" s="108"/>
      <c r="N15" s="108"/>
      <c r="O15" s="108"/>
      <c r="P15" s="133"/>
      <c r="Q15" s="112"/>
      <c r="R15" s="112"/>
      <c r="S15" s="260"/>
      <c r="W15" s="263"/>
    </row>
    <row r="16" spans="1:23" ht="12" customHeight="1">
      <c r="A16" s="272"/>
      <c r="B16" s="540"/>
      <c r="C16" s="540"/>
      <c r="D16" s="56"/>
      <c r="E16" s="274"/>
      <c r="F16" s="256"/>
      <c r="G16" s="270"/>
      <c r="H16" s="55"/>
      <c r="I16" s="79" t="str">
        <f>IF(H16=0," ",CONCATENATE(VLOOKUP(H16,Регистрация!$B$7:$N$39,3,FALSE)," ",VLOOKUP(H16,Регистрация!$B$7:$N$39,4,FALSE)))</f>
        <v xml:space="preserve"> </v>
      </c>
      <c r="J16" s="105"/>
      <c r="K16" s="105"/>
      <c r="L16" s="105"/>
      <c r="M16" s="108"/>
      <c r="N16" s="108"/>
      <c r="O16" s="108"/>
      <c r="P16" s="121"/>
      <c r="Q16" s="109"/>
      <c r="R16" s="122"/>
    </row>
    <row r="17" spans="1:18" ht="12" customHeight="1">
      <c r="A17" s="87">
        <v>3</v>
      </c>
      <c r="B17" s="539" t="str">
        <f>IF(Регистрация!$D$6&lt;A17," ",CONCATENATE(VLOOKUP(A17,Регистрация!$B$7:$N$39,3,FALSE)," ",VLOOKUP(A17,Регистрация!$B$7:$N$39,4,FALSE)," ","(",VLOOKUP(A17,Регистрация!$B$7:$N$39,11,FALSE),")"))</f>
        <v>Паранина Полина (Политех)</v>
      </c>
      <c r="C17" s="539"/>
      <c r="D17" s="51"/>
      <c r="E17" s="274"/>
      <c r="F17" s="256"/>
      <c r="G17" s="270"/>
      <c r="H17" s="52"/>
      <c r="I17" s="269"/>
      <c r="J17" s="123"/>
      <c r="K17" s="123"/>
      <c r="L17" s="123"/>
      <c r="M17" s="108"/>
      <c r="N17" s="108"/>
      <c r="O17" s="105"/>
      <c r="P17" s="254"/>
      <c r="Q17" s="110"/>
      <c r="R17" s="122"/>
    </row>
    <row r="18" spans="1:18" ht="12" customHeight="1">
      <c r="A18" s="265"/>
      <c r="B18" s="540"/>
      <c r="C18" s="540"/>
      <c r="D18" s="53"/>
      <c r="E18" s="79" t="str">
        <f>IF(D18=0," ",CONCATENATE(VLOOKUP(D18,Регистрация!$B$7:$N$39,3,FALSE)," ",VLOOKUP(D18,Регистрация!$B$7:$N$39,4,FALSE)))</f>
        <v xml:space="preserve"> </v>
      </c>
      <c r="F18" s="54"/>
      <c r="G18" s="270"/>
      <c r="H18" s="45"/>
      <c r="I18" s="270"/>
      <c r="J18" s="108"/>
      <c r="K18" s="108"/>
      <c r="L18" s="108"/>
      <c r="M18" s="108"/>
      <c r="N18" s="108"/>
      <c r="O18" s="105"/>
      <c r="P18" s="254"/>
      <c r="Q18" s="110"/>
      <c r="R18" s="122"/>
    </row>
    <row r="19" spans="1:18" ht="12" customHeight="1">
      <c r="A19" s="87">
        <v>11</v>
      </c>
      <c r="B19" s="539" t="str">
        <f>IF(Регистрация!$D$6&lt;A19," ",CONCATENATE(VLOOKUP(A19,Регистрация!$B$7:$N$39,3,FALSE)," ",VLOOKUP(A19,Регистрация!$B$7:$N$39,4,FALSE)," ","(",VLOOKUP(A19,Регистрация!$B$7:$N$39,11,FALSE),")"))</f>
        <v xml:space="preserve"> </v>
      </c>
      <c r="C19" s="539"/>
      <c r="D19" s="51"/>
      <c r="E19" s="269"/>
      <c r="F19" s="256"/>
      <c r="G19" s="273"/>
      <c r="H19" s="45"/>
      <c r="I19" s="270"/>
      <c r="J19" s="108"/>
      <c r="K19" s="108"/>
      <c r="L19" s="105"/>
      <c r="M19" s="108"/>
      <c r="N19" s="108"/>
      <c r="O19" s="108"/>
      <c r="P19" s="254"/>
      <c r="Q19" s="110"/>
      <c r="R19" s="122"/>
    </row>
    <row r="20" spans="1:18" ht="12" customHeight="1">
      <c r="A20" s="272"/>
      <c r="B20" s="540"/>
      <c r="C20" s="540"/>
      <c r="D20" s="51"/>
      <c r="E20" s="270"/>
      <c r="F20" s="55"/>
      <c r="G20" s="79" t="str">
        <f>IF(F20=0," ",CONCATENATE(VLOOKUP(F20,Регистрация!$B$7:$N$39,3,FALSE)," ",VLOOKUP(F20,Регистрация!$B$7:$N$39,4,FALSE)))</f>
        <v xml:space="preserve"> </v>
      </c>
      <c r="H20" s="45"/>
      <c r="I20" s="270"/>
      <c r="J20" s="108"/>
      <c r="K20" s="108"/>
      <c r="L20" s="105"/>
      <c r="M20" s="108"/>
      <c r="N20" s="108"/>
      <c r="O20" s="108"/>
      <c r="P20" s="254"/>
      <c r="Q20" s="110"/>
      <c r="R20" s="122"/>
    </row>
    <row r="21" spans="1:18" ht="12" customHeight="1">
      <c r="A21" s="87">
        <v>7</v>
      </c>
      <c r="B21" s="539" t="str">
        <f>IF(Регистрация!$D$6&lt;A21," ",CONCATENATE(VLOOKUP(A21,Регистрация!$B$7:$N$39,3,FALSE)," ",VLOOKUP(A21,Регистрация!$B$7:$N$39,4,FALSE)," ","(",VLOOKUP(A21,Регистрация!$B$7:$N$39,11,FALSE),")"))</f>
        <v xml:space="preserve"> </v>
      </c>
      <c r="C21" s="539"/>
      <c r="D21" s="51"/>
      <c r="E21" s="273"/>
      <c r="F21" s="44"/>
      <c r="G21" s="274"/>
      <c r="H21" s="45"/>
      <c r="I21" s="270"/>
      <c r="J21" s="125"/>
      <c r="K21" s="125"/>
      <c r="L21" s="125"/>
      <c r="M21" s="108"/>
      <c r="N21" s="108"/>
      <c r="O21" s="105"/>
      <c r="P21" s="254"/>
      <c r="Q21" s="110"/>
      <c r="R21" s="122"/>
    </row>
    <row r="22" spans="1:18" ht="12" customHeight="1">
      <c r="A22" s="272"/>
      <c r="B22" s="540"/>
      <c r="C22" s="540"/>
      <c r="D22" s="53"/>
      <c r="E22" s="79" t="str">
        <f>IF(D22=0," ",CONCATENATE(VLOOKUP(D22,Регистрация!$B$7:$N$39,3,FALSE)," ",VLOOKUP(D22,Регистрация!$B$7:$N$39,4,FALSE)))</f>
        <v xml:space="preserve"> </v>
      </c>
      <c r="F22" s="54"/>
      <c r="G22" s="274"/>
      <c r="H22" s="45"/>
      <c r="I22" s="270"/>
      <c r="J22" s="108"/>
      <c r="K22" s="108"/>
      <c r="L22" s="108"/>
      <c r="M22" s="108"/>
      <c r="N22" s="108"/>
      <c r="O22" s="105"/>
      <c r="P22" s="254"/>
      <c r="Q22" s="110"/>
      <c r="R22" s="122"/>
    </row>
    <row r="23" spans="1:18" ht="12" customHeight="1">
      <c r="A23" s="87">
        <v>15</v>
      </c>
      <c r="B23" s="539" t="str">
        <f>IF(Регистрация!$D$6&lt;A23," ",CONCATENATE(VLOOKUP(A23,Регистрация!$B$7:$N$39,3,FALSE)," ",VLOOKUP(A23,Регистрация!$B$7:$N$39,4,FALSE)," ","(",VLOOKUP(A23,Регистрация!$B$7:$N$39,11,FALSE),")"))</f>
        <v xml:space="preserve"> </v>
      </c>
      <c r="C23" s="539"/>
      <c r="D23" s="51"/>
      <c r="E23" s="274"/>
      <c r="F23" s="50"/>
      <c r="G23" s="274"/>
      <c r="H23" s="50"/>
      <c r="I23" s="270"/>
      <c r="J23" s="110"/>
      <c r="K23" s="110"/>
      <c r="L23" s="110"/>
      <c r="M23" s="110"/>
      <c r="N23" s="254"/>
      <c r="O23" s="254"/>
      <c r="P23" s="254"/>
      <c r="Q23" s="110"/>
      <c r="R23" s="122"/>
    </row>
    <row r="24" spans="1:18" ht="12" customHeight="1">
      <c r="A24" s="272"/>
      <c r="B24" s="540"/>
      <c r="C24" s="540"/>
      <c r="D24" s="56"/>
      <c r="E24" s="274"/>
      <c r="F24" s="42"/>
      <c r="G24" s="274"/>
      <c r="H24" s="42"/>
      <c r="I24" s="270"/>
      <c r="J24" s="55"/>
      <c r="K24" s="79" t="str">
        <f>IF(J24=0," ",CONCATENATE(VLOOKUP(J24,Регистрация!$B$7:$N$39,3,FALSE)," ",VLOOKUP(J24,Регистрация!$B$7:$N$39,4,FALSE)))</f>
        <v xml:space="preserve"> </v>
      </c>
      <c r="L24" s="77"/>
      <c r="M24" s="77"/>
      <c r="N24" s="77"/>
      <c r="O24" s="77"/>
      <c r="P24" s="77"/>
      <c r="Q24" s="77"/>
      <c r="R24" s="77"/>
    </row>
    <row r="25" spans="1:18" ht="12" customHeight="1">
      <c r="A25" s="89">
        <v>2</v>
      </c>
      <c r="B25" s="539" t="str">
        <f>IF(Регистрация!$D$6&lt;A25," ",CONCATENATE(VLOOKUP(A25,Регистрация!$B$7:$N$39,3,FALSE)," ",VLOOKUP(A25,Регистрация!$B$7:$N$39,4,FALSE)," ","(",VLOOKUP(A25,Регистрация!$B$7:$N$39,11,FALSE),")"))</f>
        <v>Хохлова Элина (WSKF)</v>
      </c>
      <c r="C25" s="539"/>
      <c r="D25" s="56"/>
      <c r="E25" s="274"/>
      <c r="F25" s="249"/>
      <c r="G25" s="274"/>
      <c r="H25" s="249"/>
      <c r="I25" s="270"/>
      <c r="J25" s="77"/>
      <c r="K25" s="77"/>
      <c r="L25" s="77"/>
      <c r="M25" s="77"/>
      <c r="N25" s="77"/>
      <c r="O25" s="77"/>
      <c r="P25" s="77"/>
      <c r="Q25" s="77"/>
      <c r="R25" s="77"/>
    </row>
    <row r="26" spans="1:18" ht="12" customHeight="1">
      <c r="A26" s="265"/>
      <c r="B26" s="540"/>
      <c r="C26" s="540"/>
      <c r="D26" s="57"/>
      <c r="E26" s="79" t="str">
        <f>IF(D26=0," ",CONCATENATE(VLOOKUP(D26,Регистрация!$B$7:$N$39,3,FALSE)," ",VLOOKUP(D26,Регистрация!$B$7:$N$39,4,FALSE)))</f>
        <v xml:space="preserve"> </v>
      </c>
      <c r="F26" s="249"/>
      <c r="G26" s="274"/>
      <c r="H26" s="249"/>
      <c r="I26" s="270"/>
      <c r="J26" s="77"/>
      <c r="K26" s="77"/>
      <c r="L26" s="77"/>
      <c r="M26" s="77"/>
      <c r="N26" s="77"/>
      <c r="O26" s="77"/>
      <c r="P26" s="77"/>
      <c r="Q26" s="77"/>
      <c r="R26" s="77"/>
    </row>
    <row r="27" spans="1:18" ht="12" customHeight="1">
      <c r="A27" s="89">
        <v>10</v>
      </c>
      <c r="B27" s="539" t="str">
        <f>IF(Регистрация!$D$6&lt;A27," ",CONCATENATE(VLOOKUP(A27,Регистрация!$B$7:$N$39,3,FALSE)," ",VLOOKUP(A27,Регистрация!$B$7:$N$39,4,FALSE)," ","(",VLOOKUP(A27,Регистрация!$B$7:$N$39,11,FALSE),")"))</f>
        <v xml:space="preserve"> </v>
      </c>
      <c r="C27" s="539"/>
      <c r="D27" s="56"/>
      <c r="E27" s="269"/>
      <c r="F27" s="249"/>
      <c r="G27" s="274"/>
      <c r="H27" s="249"/>
      <c r="I27" s="270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12" customHeight="1">
      <c r="A28" s="265"/>
      <c r="B28" s="540"/>
      <c r="C28" s="540"/>
      <c r="D28" s="56"/>
      <c r="E28" s="270"/>
      <c r="F28" s="55"/>
      <c r="G28" s="79" t="str">
        <f>IF(F28=0," ",CONCATENATE(VLOOKUP(F28,Регистрация!$B$7:$N$39,3,FALSE)," ",VLOOKUP(F28,Регистрация!$B$7:$N$39,4,FALSE)))</f>
        <v xml:space="preserve"> </v>
      </c>
      <c r="H28" s="249"/>
      <c r="I28" s="270"/>
      <c r="J28" s="77"/>
      <c r="K28" s="77"/>
      <c r="L28" s="77"/>
      <c r="M28" s="77"/>
      <c r="N28" s="77"/>
      <c r="O28" s="77"/>
      <c r="P28" s="77"/>
      <c r="Q28" s="77"/>
      <c r="R28" s="77"/>
    </row>
    <row r="29" spans="1:18" ht="12" customHeight="1">
      <c r="A29" s="89">
        <v>6</v>
      </c>
      <c r="B29" s="539" t="str">
        <f>IF(Регистрация!$D$6&lt;A29," ",CONCATENATE(VLOOKUP(A29,Регистрация!$B$7:$N$39,3,FALSE)," ",VLOOKUP(A29,Регистрация!$B$7:$N$39,4,FALSE)," ","(",VLOOKUP(A29,Регистрация!$B$7:$N$39,11,FALSE),")"))</f>
        <v>Павлова Мария (Политех)</v>
      </c>
      <c r="C29" s="539"/>
      <c r="D29" s="56"/>
      <c r="E29" s="273"/>
      <c r="F29" s="249"/>
      <c r="G29" s="269"/>
      <c r="H29" s="249"/>
      <c r="I29" s="270"/>
      <c r="J29" s="77"/>
      <c r="K29" s="77"/>
      <c r="L29" s="77"/>
      <c r="M29" s="77"/>
      <c r="N29" s="77"/>
      <c r="O29" s="77"/>
      <c r="P29" s="77"/>
      <c r="Q29" s="77"/>
      <c r="R29" s="77"/>
    </row>
    <row r="30" spans="1:18" ht="12" customHeight="1">
      <c r="A30" s="265"/>
      <c r="B30" s="540"/>
      <c r="C30" s="540"/>
      <c r="D30" s="57"/>
      <c r="E30" s="79" t="str">
        <f>IF(D30=0," ",CONCATENATE(VLOOKUP(D30,Регистрация!$B$7:$N$39,3,FALSE)," ",VLOOKUP(D30,Регистрация!$B$7:$N$39,4,FALSE)))</f>
        <v xml:space="preserve"> </v>
      </c>
      <c r="F30" s="249"/>
      <c r="G30" s="270"/>
      <c r="H30" s="249"/>
      <c r="I30" s="270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2" customHeight="1">
      <c r="A31" s="89">
        <v>14</v>
      </c>
      <c r="B31" s="539" t="str">
        <f>IF(Регистрация!$D$6&lt;A31," ",CONCATENATE(VLOOKUP(A31,Регистрация!$B$7:$N$39,3,FALSE)," ",VLOOKUP(A31,Регистрация!$B$7:$N$39,4,FALSE)," ","(",VLOOKUP(A31,Регистрация!$B$7:$N$39,11,FALSE),")"))</f>
        <v xml:space="preserve"> </v>
      </c>
      <c r="C31" s="539"/>
      <c r="D31" s="56"/>
      <c r="E31" s="274"/>
      <c r="F31" s="249"/>
      <c r="G31" s="270"/>
      <c r="H31" s="249"/>
      <c r="I31" s="273"/>
      <c r="J31" s="77"/>
      <c r="K31" s="77"/>
      <c r="L31" s="77"/>
      <c r="M31" s="77"/>
      <c r="N31" s="77"/>
      <c r="O31" s="77"/>
      <c r="P31" s="77"/>
      <c r="Q31" s="77"/>
      <c r="R31" s="77"/>
    </row>
    <row r="32" spans="1:18" ht="12" customHeight="1">
      <c r="A32" s="272"/>
      <c r="B32" s="540"/>
      <c r="C32" s="540"/>
      <c r="D32" s="56"/>
      <c r="E32" s="274"/>
      <c r="F32" s="249"/>
      <c r="G32" s="270"/>
      <c r="H32" s="55"/>
      <c r="I32" s="79" t="str">
        <f>IF(H32=0," ",CONCATENATE(VLOOKUP(H32,Регистрация!$B$7:$N$39,3,FALSE)," ",VLOOKUP(H32,Регистрация!$B$7:$N$39,4,FALSE)))</f>
        <v xml:space="preserve"> </v>
      </c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12" customHeight="1">
      <c r="A33" s="87">
        <v>4</v>
      </c>
      <c r="B33" s="539" t="str">
        <f>IF(Регистрация!$D$6&lt;A33," ",CONCATENATE(VLOOKUP(A33,Регистрация!$B$7:$N$39,3,FALSE)," ",VLOOKUP(A33,Регистрация!$B$7:$N$39,4,FALSE)," ","(",VLOOKUP(A33,Регистрация!$B$7:$N$39,11,FALSE),")"))</f>
        <v>Шайдулина Алина (Политех)</v>
      </c>
      <c r="C33" s="539"/>
      <c r="D33" s="56"/>
      <c r="E33" s="274"/>
      <c r="F33" s="249"/>
      <c r="G33" s="270"/>
      <c r="H33" s="144"/>
      <c r="I33" s="144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12" customHeight="1">
      <c r="A34" s="265"/>
      <c r="B34" s="540"/>
      <c r="C34" s="540"/>
      <c r="D34" s="57"/>
      <c r="E34" s="79" t="str">
        <f>IF(D34=0," ",CONCATENATE(VLOOKUP(D34,Регистрация!$B$7:$N$39,3,FALSE)," ",VLOOKUP(D34,Регистрация!$B$7:$N$39,4,FALSE)))</f>
        <v xml:space="preserve"> </v>
      </c>
      <c r="F34" s="249"/>
      <c r="G34" s="270"/>
      <c r="H34" s="144"/>
      <c r="I34" s="144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12" customHeight="1">
      <c r="A35" s="87">
        <v>12</v>
      </c>
      <c r="B35" s="539" t="str">
        <f>IF(Регистрация!$D$6&lt;A35," ",CONCATENATE(VLOOKUP(A35,Регистрация!$B$7:$N$39,3,FALSE)," ",VLOOKUP(A35,Регистрация!$B$7:$N$39,4,FALSE)," ","(",VLOOKUP(A35,Регистрация!$B$7:$N$39,11,FALSE),")"))</f>
        <v xml:space="preserve"> </v>
      </c>
      <c r="C35" s="539"/>
      <c r="D35" s="56"/>
      <c r="E35" s="269"/>
      <c r="F35" s="249"/>
      <c r="G35" s="273"/>
      <c r="H35" s="144"/>
      <c r="I35" s="144"/>
      <c r="J35" s="77"/>
      <c r="K35" s="77"/>
      <c r="L35" s="77"/>
      <c r="M35" s="77"/>
      <c r="N35" s="77"/>
      <c r="O35" s="77"/>
      <c r="P35" s="77"/>
      <c r="Q35" s="77"/>
      <c r="R35" s="77"/>
    </row>
    <row r="36" spans="1:18" ht="12" customHeight="1">
      <c r="A36" s="272"/>
      <c r="B36" s="540"/>
      <c r="C36" s="540"/>
      <c r="D36" s="56"/>
      <c r="E36" s="270"/>
      <c r="F36" s="55"/>
      <c r="G36" s="79" t="str">
        <f>IF(F36=0," ",CONCATENATE(VLOOKUP(F36,Регистрация!$B$7:$N$39,3,FALSE)," ",VLOOKUP(F36,Регистрация!$B$7:$N$39,4,FALSE)))</f>
        <v xml:space="preserve"> </v>
      </c>
      <c r="H36" s="144"/>
      <c r="I36" s="544" t="s">
        <v>25</v>
      </c>
      <c r="J36" s="544"/>
      <c r="K36" s="544"/>
      <c r="L36" s="77"/>
      <c r="M36" s="77"/>
      <c r="N36" s="77"/>
      <c r="O36" s="77"/>
      <c r="P36" s="77"/>
      <c r="Q36" s="77"/>
      <c r="R36" s="77"/>
    </row>
    <row r="37" spans="1:18" ht="12" customHeight="1">
      <c r="A37" s="87">
        <v>8</v>
      </c>
      <c r="B37" s="539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39"/>
      <c r="D37" s="56"/>
      <c r="E37" s="273"/>
      <c r="F37" s="144"/>
      <c r="G37" s="144"/>
      <c r="H37" s="144"/>
      <c r="I37" s="144"/>
      <c r="J37" s="77"/>
      <c r="K37" s="77"/>
      <c r="L37" s="77"/>
      <c r="M37" s="77"/>
      <c r="N37" s="77"/>
      <c r="O37" s="77"/>
      <c r="P37" s="77"/>
      <c r="Q37" s="77"/>
      <c r="R37" s="77"/>
    </row>
    <row r="38" spans="1:18" ht="12" customHeight="1">
      <c r="A38" s="272"/>
      <c r="B38" s="540"/>
      <c r="C38" s="540"/>
      <c r="D38" s="57"/>
      <c r="E38" s="79" t="str">
        <f>IF(D38=0," ",CONCATENATE(VLOOKUP(D38,Регистрация!$B$7:$N$39,3,FALSE)," ",VLOOKUP(D38,Регистрация!$B$7:$N$39,4,FALSE)))</f>
        <v xml:space="preserve"> </v>
      </c>
      <c r="F38" s="144"/>
      <c r="G38" s="144"/>
      <c r="H38" s="89">
        <f>IF(H16=0,0,IF(H16=F12,F20,F12))</f>
        <v>0</v>
      </c>
      <c r="I38" s="79" t="str">
        <f>IF(H38=0," ",CONCATENATE(VLOOKUP(H38,Регистрация!$B$7:$N$39,3,FALSE)," ",VLOOKUP(H38,Регистрация!$B$7:$N$39,4,FALSE)))</f>
        <v xml:space="preserve"> </v>
      </c>
      <c r="J38" s="108"/>
      <c r="K38" s="108"/>
      <c r="L38" s="77"/>
      <c r="M38" s="77"/>
      <c r="N38" s="77"/>
      <c r="O38" s="77"/>
      <c r="P38" s="77"/>
      <c r="Q38" s="77"/>
      <c r="R38" s="77"/>
    </row>
    <row r="39" spans="1:18" ht="12" customHeight="1">
      <c r="A39" s="87">
        <v>16</v>
      </c>
      <c r="B39" s="539" t="str">
        <f>IF(Регистрация!$D$6&lt;A39," ",CONCATENATE(VLOOKUP(A39,Регистрация!$B$7:$N$39,3,FALSE)," ",VLOOKUP(A39,Регистрация!$B$7:$N$39,4,FALSE)," ","(",VLOOKUP(A39,Регистрация!$B$7:$N$39,11,FALSE),")"))</f>
        <v xml:space="preserve"> </v>
      </c>
      <c r="C39" s="539"/>
      <c r="D39" s="142"/>
      <c r="E39" s="110"/>
      <c r="F39" s="254"/>
      <c r="G39" s="254"/>
      <c r="H39" s="99"/>
      <c r="I39" s="267"/>
      <c r="J39" s="55"/>
      <c r="K39" s="79" t="str">
        <f>IF(J39=0," ",CONCATENATE(VLOOKUP(J39,Регистрация!$B$7:$N$39,3,FALSE)," ",VLOOKUP(J39,Регистрация!$B$7:$N$39,4,FALSE)))</f>
        <v xml:space="preserve"> </v>
      </c>
      <c r="L39" s="127"/>
      <c r="M39" s="254"/>
      <c r="N39" s="254"/>
      <c r="O39" s="254"/>
      <c r="P39" s="254"/>
      <c r="Q39" s="110"/>
      <c r="R39" s="122"/>
    </row>
    <row r="40" spans="1:18" ht="12" customHeight="1">
      <c r="D40" s="277"/>
      <c r="E40" s="128"/>
      <c r="H40" s="89">
        <f>IF(H32=0,0,IF(H32=F28,F36,F28))</f>
        <v>0</v>
      </c>
      <c r="I40" s="79" t="str">
        <f>IF(H40=0," ",CONCATENATE(VLOOKUP(H40,Регистрация!$B$7:$N$39,3,FALSE)," ",VLOOKUP(H40,Регистрация!$B$7:$N$39,4,FALSE)))</f>
        <v xml:space="preserve"> </v>
      </c>
      <c r="J40" s="108"/>
      <c r="K40" s="105"/>
      <c r="L40" s="129"/>
      <c r="M40" s="129"/>
      <c r="N40" s="129"/>
      <c r="O40" s="129"/>
      <c r="P40" s="129"/>
      <c r="Q40" s="122"/>
      <c r="R40" s="122"/>
    </row>
    <row r="41" spans="1:18" ht="13">
      <c r="A41" s="526" t="s">
        <v>16</v>
      </c>
      <c r="B41" s="526"/>
      <c r="C41" s="526"/>
      <c r="D41" s="526"/>
      <c r="E41" s="526"/>
    </row>
    <row r="42" spans="1:18" ht="13">
      <c r="A42" s="126"/>
      <c r="B42" s="302" t="s">
        <v>1</v>
      </c>
      <c r="C42" s="278" t="s">
        <v>17</v>
      </c>
      <c r="D42" s="252"/>
      <c r="E42" s="253"/>
    </row>
    <row r="43" spans="1:18" ht="12.75" customHeight="1">
      <c r="A43" s="87">
        <f>J24</f>
        <v>0</v>
      </c>
      <c r="B43" s="88">
        <v>1</v>
      </c>
      <c r="C43" s="545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46"/>
      <c r="E43" s="547"/>
      <c r="F43" s="99"/>
      <c r="G43" s="111"/>
      <c r="H43" s="108"/>
      <c r="I43" s="105"/>
    </row>
    <row r="44" spans="1:18" ht="12.75" customHeight="1">
      <c r="A44" s="87">
        <f>IF(J24=0,0,IF(J24=H16,H32,H16))</f>
        <v>0</v>
      </c>
      <c r="B44" s="88">
        <v>2</v>
      </c>
      <c r="C44" s="545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46"/>
      <c r="E44" s="547"/>
    </row>
    <row r="45" spans="1:18" ht="12.75" customHeight="1">
      <c r="A45" s="87">
        <f>J39</f>
        <v>0</v>
      </c>
      <c r="B45" s="88">
        <v>3</v>
      </c>
      <c r="C45" s="545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46"/>
      <c r="E45" s="547"/>
    </row>
    <row r="46" spans="1:18" ht="12.75" customHeight="1">
      <c r="A46" s="87">
        <f>IF(J39=0,0,IF(J39=H38,H40,H38))</f>
        <v>0</v>
      </c>
      <c r="B46" s="88">
        <v>4</v>
      </c>
      <c r="C46" s="545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46"/>
      <c r="E46" s="547"/>
    </row>
    <row r="47" spans="1:18" s="251" customFormat="1" ht="17.25" customHeight="1">
      <c r="A47" s="527" t="s">
        <v>14</v>
      </c>
      <c r="B47" s="527"/>
      <c r="C47" s="527"/>
      <c r="D47" s="276"/>
      <c r="F47" s="131"/>
      <c r="G47" s="131"/>
      <c r="H47" s="131"/>
      <c r="J47" s="251" t="str">
        <f>Регистрация!N73</f>
        <v>Цыльев В.А. С1К</v>
      </c>
    </row>
    <row r="48" spans="1:18" s="251" customFormat="1" ht="13">
      <c r="A48" s="276"/>
      <c r="D48" s="276"/>
    </row>
    <row r="49" spans="1:10" s="251" customFormat="1" ht="13">
      <c r="A49" s="527" t="s">
        <v>15</v>
      </c>
      <c r="B49" s="527"/>
      <c r="C49" s="527"/>
      <c r="D49" s="276"/>
      <c r="F49" s="131"/>
      <c r="G49" s="131"/>
      <c r="H49" s="131"/>
      <c r="J49" s="251" t="str">
        <f>Регистрация!N74</f>
        <v>Орлова Е.С 3 К</v>
      </c>
    </row>
    <row r="51" spans="1:10" ht="13">
      <c r="A51" s="104"/>
      <c r="D51" s="104"/>
    </row>
    <row r="52" spans="1:10" ht="13">
      <c r="A52" s="104"/>
      <c r="D52" s="104"/>
    </row>
    <row r="53" spans="1:10" ht="13">
      <c r="A53" s="104"/>
      <c r="D53" s="104"/>
    </row>
    <row r="54" spans="1:10" ht="13">
      <c r="A54" s="104"/>
      <c r="D54" s="104"/>
    </row>
    <row r="55" spans="1:10" ht="13">
      <c r="A55" s="104"/>
      <c r="D55" s="104"/>
    </row>
    <row r="56" spans="1:10" ht="13">
      <c r="A56" s="104"/>
      <c r="D56" s="104"/>
    </row>
    <row r="57" spans="1:10" ht="13">
      <c r="A57" s="104"/>
      <c r="D57" s="104"/>
    </row>
    <row r="58" spans="1:10" ht="13">
      <c r="A58" s="104"/>
      <c r="D58" s="104"/>
    </row>
    <row r="59" spans="1:10" ht="13">
      <c r="A59" s="104"/>
      <c r="D59" s="104"/>
    </row>
    <row r="60" spans="1:10" ht="13">
      <c r="A60" s="104"/>
      <c r="D60" s="104"/>
    </row>
    <row r="61" spans="1:10" ht="13">
      <c r="A61" s="104"/>
      <c r="D61" s="104"/>
    </row>
    <row r="62" spans="1:10" ht="13">
      <c r="A62" s="104"/>
      <c r="D62" s="104"/>
    </row>
    <row r="63" spans="1:10" ht="13">
      <c r="A63" s="104"/>
      <c r="D63" s="104"/>
    </row>
    <row r="64" spans="1:10" ht="13">
      <c r="A64" s="104"/>
      <c r="D64" s="104"/>
    </row>
    <row r="65" s="104" customFormat="1" ht="13"/>
    <row r="66" s="104" customFormat="1" ht="13"/>
    <row r="67" s="104" customFormat="1" ht="13"/>
  </sheetData>
  <mergeCells count="44">
    <mergeCell ref="I36:K36"/>
    <mergeCell ref="B37:C37"/>
    <mergeCell ref="A47:C47"/>
    <mergeCell ref="A49:C49"/>
    <mergeCell ref="B39:C39"/>
    <mergeCell ref="A41:E41"/>
    <mergeCell ref="C43:E43"/>
    <mergeCell ref="C44:E44"/>
    <mergeCell ref="C45:E45"/>
    <mergeCell ref="C46:E46"/>
    <mergeCell ref="B38:C38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32:C32"/>
    <mergeCell ref="B24:C24"/>
    <mergeCell ref="B25:C25"/>
    <mergeCell ref="B16:C16"/>
    <mergeCell ref="B17:C17"/>
    <mergeCell ref="B18:C18"/>
    <mergeCell ref="B19:C19"/>
    <mergeCell ref="B20:C20"/>
    <mergeCell ref="B26:C26"/>
    <mergeCell ref="B15:C15"/>
    <mergeCell ref="A1:K1"/>
    <mergeCell ref="A3:K3"/>
    <mergeCell ref="A5:C5"/>
    <mergeCell ref="D5:G5"/>
    <mergeCell ref="A7:K7"/>
    <mergeCell ref="B9:C9"/>
    <mergeCell ref="B10:C10"/>
    <mergeCell ref="B11:C11"/>
    <mergeCell ref="B12:C12"/>
    <mergeCell ref="B13:C13"/>
    <mergeCell ref="B14:C14"/>
    <mergeCell ref="B21:C21"/>
    <mergeCell ref="B22:C22"/>
    <mergeCell ref="B23:C23"/>
  </mergeCells>
  <pageMargins left="0.38" right="0.16" top="0.15" bottom="0.19" header="0.11" footer="0.15"/>
  <pageSetup paperSize="9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R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1.81640625" style="8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303" bestFit="1" customWidth="1"/>
    <col min="19" max="16384" width="9.1796875" style="77"/>
  </cols>
  <sheetData>
    <row r="1" spans="1:18" ht="14.25" customHeight="1">
      <c r="A1" s="76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6" customFormat="1" ht="12.75" customHeight="1">
      <c r="A5" s="572" t="str">
        <f>Регистрация!A3</f>
        <v>Женщины 18 +  ОК-двоеборье</v>
      </c>
      <c r="B5" s="572"/>
      <c r="C5" s="572"/>
      <c r="D5" s="572"/>
      <c r="E5" s="572"/>
      <c r="F5" s="95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5">
      <c r="A7" s="8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303"/>
    </row>
    <row r="8" spans="1:18" s="133" customFormat="1" ht="11.25" customHeight="1">
      <c r="A8" s="165"/>
      <c r="B8" s="558"/>
      <c r="C8" s="558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52"/>
      <c r="D9" s="55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3"/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 t="e">
        <f>IF(I9=0," ",CONCATENATE(VLOOKUP(I9,Регистрация!$B$7:$N$39,3,FALSE)," ",VLOOKUP(I9,Регистрация!$B$7:$N$39,4,FALSE)))</f>
        <v>#N/A</v>
      </c>
      <c r="K9" s="564" t="e">
        <f>IF(J9=0," ",CONCATENATE(VLOOKUP(J9,Регистрация!$B$7:$N$39,3,FALSE)," ",VLOOKUP(J9,Регистрация!$B$7:$N$39,4,FALSE)))</f>
        <v>#N/A</v>
      </c>
      <c r="O9" s="555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6"/>
      <c r="Q9" s="557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8"/>
      <c r="C10" s="558"/>
      <c r="D10" s="165"/>
      <c r="E10" s="306"/>
      <c r="F10" s="108"/>
      <c r="G10" s="108"/>
      <c r="H10" s="108"/>
      <c r="I10" s="569" t="s">
        <v>0</v>
      </c>
      <c r="J10" s="569"/>
      <c r="K10" s="569"/>
      <c r="O10" s="307"/>
      <c r="P10" s="165"/>
      <c r="Q10" s="304"/>
      <c r="R10" s="165"/>
    </row>
    <row r="11" spans="1:18" s="133" customFormat="1" ht="11.25" customHeight="1">
      <c r="A11" s="165"/>
      <c r="B11" s="558"/>
      <c r="C11" s="558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255"/>
      <c r="M11" s="79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165"/>
      <c r="E12" s="308"/>
      <c r="F12" s="47"/>
      <c r="G12" s="309"/>
      <c r="H12" s="108"/>
      <c r="I12" s="105"/>
      <c r="J12" s="105"/>
      <c r="K12" s="105"/>
      <c r="M12" s="310"/>
      <c r="N12" s="47"/>
      <c r="O12" s="307"/>
      <c r="P12" s="165"/>
      <c r="Q12" s="304"/>
      <c r="R12" s="165"/>
    </row>
    <row r="13" spans="1:18" s="133" customFormat="1" ht="11.25" customHeight="1">
      <c r="A13" s="165"/>
      <c r="B13" s="558"/>
      <c r="C13" s="558"/>
      <c r="D13" s="46"/>
      <c r="E13" s="259"/>
      <c r="F13" s="47"/>
      <c r="G13" s="311"/>
      <c r="H13" s="108"/>
      <c r="I13" s="108"/>
      <c r="J13" s="108"/>
      <c r="K13" s="255"/>
      <c r="M13" s="312"/>
      <c r="N13" s="47"/>
      <c r="O13" s="555" t="str">
        <f>IF(Регистрация!$D$6&lt;R13," ",CONCATENATE(VLOOKUP(R13,Регистрация!$B$7:$N$39,3,FALSE)," ",VLOOKUP(R13,Регистрация!$B$7:$N$39,4,FALSE)," ","(",VLOOKUP(R13,Регистрация!$B$7:$N$39,11,FALSE),")"))</f>
        <v xml:space="preserve"> </v>
      </c>
      <c r="P13" s="556"/>
      <c r="Q13" s="557" t="e">
        <f>IF(Регистрация!$D$6&lt;P13," ",CONCATENATE(VLOOKUP(P13,Регистрация!$B$7:$N$39,3,FALSE)," ",VLOOKUP(P13,Регистрация!$B$7:$N$39,4,FALSE)," ","(",VLOOKUP(P13,Регистрация!$B$7:$N$39,11,FALSE),")"))</f>
        <v>#N/A</v>
      </c>
      <c r="R13" s="98">
        <v>10</v>
      </c>
    </row>
    <row r="14" spans="1:18" s="133" customFormat="1" ht="11.25" customHeight="1">
      <c r="A14" s="98">
        <v>17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165"/>
      <c r="E14" s="313"/>
      <c r="F14" s="47"/>
      <c r="G14" s="311"/>
      <c r="H14" s="108"/>
      <c r="I14" s="96"/>
      <c r="J14" s="96"/>
      <c r="K14" s="255"/>
      <c r="M14" s="312"/>
      <c r="N14" s="47"/>
      <c r="O14" s="304"/>
      <c r="P14" s="165"/>
      <c r="Q14" s="304"/>
      <c r="R14" s="165"/>
    </row>
    <row r="15" spans="1:18" ht="11.25" customHeight="1">
      <c r="A15" s="165"/>
      <c r="B15" s="558"/>
      <c r="C15" s="558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58"/>
      <c r="C16" s="558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51" t="str">
        <f>IF(Регистрация!$D$6&lt;A17," ",CONCATENATE(VLOOKUP(A17,Регистрация!$B$7:$N$39,3,FALSE)," ",VLOOKUP(A17,Регистрация!$B$7:$N$39,4,FALSE)," ","(",VLOOKUP(A17,Регистрация!$B$7:$N$39,11,FALSE),")"))</f>
        <v>Носкова Александра (Политех)</v>
      </c>
      <c r="C17" s="552"/>
      <c r="D17" s="552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53"/>
      <c r="F17" s="47"/>
      <c r="G17" s="311"/>
      <c r="H17" s="47"/>
      <c r="I17" s="311"/>
      <c r="J17" s="108"/>
      <c r="K17" s="312"/>
      <c r="L17" s="47"/>
      <c r="M17" s="312"/>
      <c r="N17" s="47"/>
      <c r="O17" s="555" t="str">
        <f>IF(Регистрация!$D$6&lt;R17," ",CONCATENATE(VLOOKUP(R17,Регистрация!$B$7:$N$39,3,FALSE)," ",VLOOKUP(R17,Регистрация!$B$7:$N$39,4,FALSE)," ","(",VLOOKUP(R17,Регистрация!$B$7:$N$39,11,FALSE),")"))</f>
        <v>Павлова Мария (Политех)</v>
      </c>
      <c r="P17" s="556"/>
      <c r="Q17" s="557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58"/>
      <c r="C18" s="558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58"/>
      <c r="C19" s="558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165"/>
      <c r="B20" s="558"/>
      <c r="C20" s="558"/>
      <c r="D20" s="165"/>
      <c r="E20" s="306"/>
      <c r="F20" s="47"/>
      <c r="G20" s="316"/>
      <c r="H20" s="47"/>
      <c r="I20" s="311"/>
      <c r="J20" s="125"/>
      <c r="K20" s="312"/>
      <c r="L20" s="47"/>
      <c r="M20" s="317"/>
      <c r="N20" s="47"/>
      <c r="O20" s="307"/>
      <c r="P20" s="165"/>
      <c r="Q20" s="304"/>
      <c r="R20" s="165"/>
    </row>
    <row r="21" spans="1:18" ht="11.25" customHeight="1">
      <c r="A21" s="98">
        <v>13</v>
      </c>
      <c r="B21" s="551" t="str">
        <f>IF(Регистрация!$D$6&lt;A21," ",CONCATENATE(VLOOKUP(A21,Регистрация!$B$7:$N$39,3,FALSE)," ",VLOOKUP(A21,Регистрация!$B$7:$N$39,4,FALSE)," ","(",VLOOKUP(A21,Регистрация!$B$7:$N$39,11,FALSE),")"))</f>
        <v xml:space="preserve"> </v>
      </c>
      <c r="C21" s="552"/>
      <c r="D21" s="552" t="e">
        <f>IF(Регистрация!$D$6&lt;C21," ",CONCATENATE(VLOOKUP(C21,Регистрация!$B$7:$N$39,3,FALSE)," ",VLOOKUP(C21,Регистрация!$B$7:$N$39,4,FALSE)," ","(",VLOOKUP(C21,Регистрация!$B$7:$N$39,11,FALSE),")"))</f>
        <v>#N/A</v>
      </c>
      <c r="E21" s="553"/>
      <c r="F21" s="47"/>
      <c r="G21" s="316"/>
      <c r="H21" s="47"/>
      <c r="I21" s="311"/>
      <c r="K21" s="312"/>
      <c r="L21" s="47"/>
      <c r="M21" s="317"/>
      <c r="N21" s="47"/>
      <c r="O21" s="555" t="str">
        <f>IF(Регистрация!$D$6&lt;R21," ",CONCATENATE(VLOOKUP(R21,Регистрация!$B$7:$N$39,3,FALSE)," ",VLOOKUP(R21,Регистрация!$B$7:$N$39,4,FALSE)," ","(",VLOOKUP(R21,Регистрация!$B$7:$N$39,11,FALSE),")"))</f>
        <v xml:space="preserve"> </v>
      </c>
      <c r="P21" s="556"/>
      <c r="Q21" s="557" t="e">
        <f>IF(Регистрация!$D$6&lt;P21," ",CONCATENATE(VLOOKUP(P21,Регистрация!$B$7:$N$39,3,FALSE)," ",VLOOKUP(P21,Регистрация!$B$7:$N$39,4,FALSE)," ","(",VLOOKUP(P21,Регистрация!$B$7:$N$39,11,FALSE),")"))</f>
        <v>#N/A</v>
      </c>
      <c r="R21" s="98">
        <v>14</v>
      </c>
    </row>
    <row r="22" spans="1:18" ht="11.25" customHeight="1">
      <c r="A22" s="165"/>
      <c r="B22" s="558"/>
      <c r="C22" s="558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04"/>
      <c r="R22" s="165"/>
    </row>
    <row r="23" spans="1:18" ht="11.25" customHeight="1">
      <c r="A23" s="165"/>
      <c r="B23" s="558"/>
      <c r="C23" s="558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58"/>
      <c r="C24" s="558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51" t="str">
        <f>IF(Регистрация!$D$6&lt;A25," ",CONCATENATE(VLOOKUP(A25,Регистрация!$B$7:$N$39,3,FALSE)," ",VLOOKUP(A25,Регистрация!$B$7:$N$39,4,FALSE)," ","(",VLOOKUP(A25,Регистрация!$B$7:$N$39,11,FALSE),")"))</f>
        <v>Паранина Полина (Политех)</v>
      </c>
      <c r="C25" s="552"/>
      <c r="D25" s="552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53"/>
      <c r="F25" s="47"/>
      <c r="G25" s="316"/>
      <c r="H25" s="47"/>
      <c r="I25" s="311"/>
      <c r="K25" s="312"/>
      <c r="L25" s="47"/>
      <c r="M25" s="317"/>
      <c r="N25" s="47"/>
      <c r="O25" s="555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6"/>
      <c r="Q25" s="557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58"/>
      <c r="C26" s="558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8"/>
      <c r="C27" s="558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165"/>
      <c r="B28" s="558"/>
      <c r="C28" s="558"/>
      <c r="D28" s="165"/>
      <c r="E28" s="306"/>
      <c r="F28" s="47"/>
      <c r="G28" s="309"/>
      <c r="H28" s="47"/>
      <c r="I28" s="311"/>
      <c r="K28" s="312"/>
      <c r="L28" s="47"/>
      <c r="M28" s="310"/>
      <c r="N28" s="47"/>
      <c r="O28" s="307"/>
      <c r="P28" s="165"/>
      <c r="Q28" s="304"/>
      <c r="R28" s="165"/>
    </row>
    <row r="29" spans="1:18" ht="11.25" customHeight="1">
      <c r="A29" s="98">
        <v>11</v>
      </c>
      <c r="B29" s="551" t="str">
        <f>IF(Регистрация!$D$6&lt;A29," ",CONCATENATE(VLOOKUP(A29,Регистрация!$B$7:$N$39,3,FALSE)," ",VLOOKUP(A29,Регистрация!$B$7:$N$39,4,FALSE)," ","(",VLOOKUP(A29,Регистрация!$B$7:$N$39,11,FALSE),")"))</f>
        <v xml:space="preserve"> </v>
      </c>
      <c r="C29" s="552"/>
      <c r="D29" s="552" t="e">
        <f>IF(Регистрация!$D$6&lt;C29," ",CONCATENATE(VLOOKUP(C29,Регистрация!$B$7:$N$39,3,FALSE)," ",VLOOKUP(C29,Регистрация!$B$7:$N$39,4,FALSE)," ","(",VLOOKUP(C29,Регистрация!$B$7:$N$39,11,FALSE),")"))</f>
        <v>#N/A</v>
      </c>
      <c r="E29" s="553"/>
      <c r="F29" s="47"/>
      <c r="G29" s="311"/>
      <c r="H29" s="47"/>
      <c r="I29" s="311"/>
      <c r="K29" s="312"/>
      <c r="L29" s="47"/>
      <c r="M29" s="312"/>
      <c r="N29" s="47"/>
      <c r="O29" s="555" t="str">
        <f>IF(Регистрация!$D$6&lt;R29," ",CONCATENATE(VLOOKUP(R29,Регистрация!$B$7:$N$39,3,FALSE)," ",VLOOKUP(R29,Регистрация!$B$7:$N$39,4,FALSE)," ","(",VLOOKUP(R29,Регистрация!$B$7:$N$39,11,FALSE),")"))</f>
        <v xml:space="preserve"> </v>
      </c>
      <c r="P29" s="556"/>
      <c r="Q29" s="557" t="e">
        <f>IF(Регистрация!$D$6&lt;P29," ",CONCATENATE(VLOOKUP(P29,Регистрация!$B$7:$N$39,3,FALSE)," ",VLOOKUP(P29,Регистрация!$B$7:$N$39,4,FALSE)," ","(",VLOOKUP(P29,Регистрация!$B$7:$N$39,11,FALSE),")"))</f>
        <v>#N/A</v>
      </c>
      <c r="R29" s="98">
        <v>12</v>
      </c>
    </row>
    <row r="30" spans="1:18" ht="11.25" customHeight="1">
      <c r="A30" s="165"/>
      <c r="B30" s="558"/>
      <c r="C30" s="558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04"/>
      <c r="R30" s="165"/>
    </row>
    <row r="31" spans="1:18" ht="11.25" customHeight="1">
      <c r="A31" s="165"/>
      <c r="B31" s="558"/>
      <c r="C31" s="558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8"/>
      <c r="C32" s="558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1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2"/>
      <c r="D33" s="552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3"/>
      <c r="F33" s="47"/>
      <c r="G33" s="311"/>
      <c r="H33" s="144"/>
      <c r="I33" s="144"/>
      <c r="M33" s="312"/>
      <c r="N33" s="47"/>
      <c r="O33" s="555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6"/>
      <c r="Q33" s="557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58"/>
      <c r="C34" s="558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8"/>
      <c r="C35" s="558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165"/>
      <c r="B36" s="558"/>
      <c r="C36" s="558"/>
      <c r="D36" s="165"/>
      <c r="E36" s="306"/>
      <c r="F36" s="144"/>
      <c r="G36" s="144"/>
      <c r="H36" s="144"/>
      <c r="I36" s="144"/>
      <c r="O36" s="307"/>
      <c r="P36" s="165"/>
      <c r="Q36" s="304"/>
      <c r="R36" s="165"/>
    </row>
    <row r="37" spans="1:18" ht="11.25" customHeight="1">
      <c r="A37" s="98">
        <v>15</v>
      </c>
      <c r="B37" s="551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52"/>
      <c r="D37" s="552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53"/>
      <c r="F37" s="144"/>
      <c r="G37" s="144"/>
      <c r="H37" s="265"/>
      <c r="I37" s="318"/>
      <c r="J37" s="108"/>
      <c r="O37" s="555" t="str">
        <f>IF(Регистрация!$D$6&lt;R37," ",CONCATENATE(VLOOKUP(R37,Регистрация!$B$7:$N$39,3,FALSE)," ",VLOOKUP(R37,Регистрация!$B$7:$N$39,4,FALSE)," ","(",VLOOKUP(R37,Регистрация!$B$7:$N$39,11,FALSE),")"))</f>
        <v xml:space="preserve"> </v>
      </c>
      <c r="P37" s="556"/>
      <c r="Q37" s="557" t="e">
        <f>IF(Регистрация!$D$6&lt;P37," ",CONCATENATE(VLOOKUP(P37,Регистрация!$B$7:$N$39,3,FALSE)," ",VLOOKUP(P37,Регистрация!$B$7:$N$39,4,FALSE)," ","(",VLOOKUP(P37,Регистрация!$B$7:$N$39,11,FALSE),")"))</f>
        <v>#N/A</v>
      </c>
      <c r="R37" s="98">
        <v>16</v>
      </c>
    </row>
    <row r="38" spans="1:18" ht="11.25" customHeight="1">
      <c r="A38" s="165"/>
      <c r="B38" s="558"/>
      <c r="C38" s="558"/>
      <c r="D38" s="142"/>
      <c r="E38" s="110"/>
      <c r="F38" s="254"/>
      <c r="G38" s="254"/>
      <c r="H38" s="559"/>
      <c r="I38" s="559"/>
      <c r="J38" s="559"/>
      <c r="K38" s="559"/>
      <c r="L38" s="559"/>
      <c r="Q38" s="304"/>
      <c r="R38" s="165"/>
    </row>
    <row r="39" spans="1:18" ht="12" customHeight="1">
      <c r="D39" s="178"/>
      <c r="E39" s="128"/>
      <c r="H39" s="265"/>
      <c r="J39" s="108"/>
    </row>
    <row r="40" spans="1:18" ht="12" customHeight="1">
      <c r="A40" s="560" t="s">
        <v>16</v>
      </c>
      <c r="B40" s="560"/>
      <c r="C40" s="561"/>
      <c r="D40" s="561"/>
      <c r="E40" s="561"/>
      <c r="H40" s="98">
        <f>IF(H23=0,0,IF(H23=H15,H31,H15))</f>
        <v>0</v>
      </c>
      <c r="I40" s="562" t="str">
        <f>IF(H40=0," ",CONCATENATE(VLOOKUP(H40,Регистрация!$B$7:$N$39,3,FALSE)," ",VLOOKUP(H40,Регистрация!$B$7:$N$39,4,FALSE)))</f>
        <v xml:space="preserve"> </v>
      </c>
      <c r="J40" s="563" t="e">
        <f>IF(I40=0," ",CONCATENATE(VLOOKUP(I40,Регистрация!$B$7:$N$39,3,FALSE)," ",VLOOKUP(I40,Регистрация!$B$7:$N$39,4,FALSE)))</f>
        <v>#N/A</v>
      </c>
      <c r="K40" s="564" t="e">
        <f>IF(J40=0," ",CONCATENATE(VLOOKUP(J40,Регистрация!$B$7:$N$39,3,FALSE)," ",VLOOKUP(J40,Регистрация!$B$7:$N$39,4,FALSE)))</f>
        <v>#N/A</v>
      </c>
    </row>
    <row r="41" spans="1:18" ht="12" customHeight="1">
      <c r="A41" s="80"/>
      <c r="B41" s="319" t="s">
        <v>28</v>
      </c>
      <c r="C41" s="565" t="s">
        <v>17</v>
      </c>
      <c r="D41" s="566"/>
      <c r="E41" s="566"/>
      <c r="F41" s="567"/>
      <c r="H41" s="165"/>
      <c r="I41" s="320"/>
      <c r="J41" s="167"/>
      <c r="K41" s="167"/>
      <c r="L41" s="46"/>
      <c r="M41" s="568" t="str">
        <f>IF(L41=0," ",CONCATENATE(VLOOKUP(L41,Регистрация!$B$7:$N$39,3,FALSE)," ",VLOOKUP(L41,Регистрация!$B$7:$N$39,4,FALSE)))</f>
        <v xml:space="preserve"> </v>
      </c>
      <c r="N41" s="568"/>
    </row>
    <row r="42" spans="1:18" ht="12" customHeight="1">
      <c r="A42" s="89">
        <f>H9</f>
        <v>0</v>
      </c>
      <c r="B42" s="97">
        <v>1</v>
      </c>
      <c r="C42" s="551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52"/>
      <c r="E42" s="552"/>
      <c r="F42" s="553"/>
      <c r="G42" s="111"/>
      <c r="H42" s="98">
        <f>IF(L23=0,0,IF(L23=L15,L31,L15))</f>
        <v>0</v>
      </c>
      <c r="I42" s="562" t="str">
        <f>IF(H42=0," ",CONCATENATE(VLOOKUP(H42,Регистрация!$B$7:$N$39,3,FALSE)," ",VLOOKUP(H42,Регистрация!$B$7:$N$39,4,FALSE)))</f>
        <v xml:space="preserve"> </v>
      </c>
      <c r="J42" s="563" t="e">
        <f>IF(I42=0," ",CONCATENATE(VLOOKUP(I42,Регистрация!$B$7:$N$39,3,FALSE)," ",VLOOKUP(I42,Регистрация!$B$7:$N$39,4,FALSE)))</f>
        <v>#N/A</v>
      </c>
      <c r="K42" s="564" t="e">
        <f>IF(J42=0," ",CONCATENATE(VLOOKUP(J42,Регистрация!$B$7:$N$39,3,FALSE)," ",VLOOKUP(J42,Регистрация!$B$7:$N$39,4,FALSE)))</f>
        <v>#N/A</v>
      </c>
    </row>
    <row r="43" spans="1:18" ht="12" customHeight="1">
      <c r="A43" s="89">
        <f>IF(H9=0,0,IF(H9=H23,L23,H23))</f>
        <v>0</v>
      </c>
      <c r="B43" s="97">
        <v>2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</row>
    <row r="44" spans="1:18" ht="12" customHeight="1">
      <c r="A44" s="89">
        <f>L41</f>
        <v>0</v>
      </c>
      <c r="B44" s="97">
        <v>3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2" customHeight="1">
      <c r="A45" s="89">
        <f>IF(L41=0,0,IF(L41=H40,H42,H40))</f>
        <v>0</v>
      </c>
      <c r="B45" s="97">
        <v>4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</row>
    <row r="46" spans="1:18" s="78" customFormat="1" ht="23.25" customHeight="1">
      <c r="A46" s="554" t="s">
        <v>26</v>
      </c>
      <c r="B46" s="554"/>
      <c r="C46" s="554"/>
      <c r="D46" s="178"/>
      <c r="E46" s="168"/>
      <c r="F46" s="168"/>
      <c r="G46" s="168"/>
      <c r="H46" s="321"/>
      <c r="I46" s="321"/>
      <c r="J46" s="321"/>
      <c r="K46" s="321"/>
      <c r="L46" s="321"/>
      <c r="M46" s="168"/>
      <c r="N46" s="168"/>
      <c r="O46" s="554" t="str">
        <f>Регистрация!N73</f>
        <v>Цыльев В.А. С1К</v>
      </c>
      <c r="P46" s="554"/>
      <c r="Q46" s="554"/>
      <c r="R46" s="322"/>
    </row>
    <row r="47" spans="1:18" s="78" customFormat="1" ht="13.5" customHeight="1">
      <c r="A47" s="178"/>
      <c r="B47" s="168"/>
      <c r="C47" s="168"/>
      <c r="D47" s="17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322"/>
    </row>
    <row r="48" spans="1:18" s="78" customFormat="1" ht="15.75" customHeight="1">
      <c r="A48" s="554" t="s">
        <v>27</v>
      </c>
      <c r="B48" s="554"/>
      <c r="C48" s="554"/>
      <c r="D48" s="178"/>
      <c r="E48" s="168"/>
      <c r="F48" s="168"/>
      <c r="G48" s="168"/>
      <c r="H48" s="321"/>
      <c r="I48" s="321"/>
      <c r="J48" s="321"/>
      <c r="K48" s="321"/>
      <c r="L48" s="321"/>
      <c r="M48" s="168"/>
      <c r="N48" s="168"/>
      <c r="O48" s="554" t="str">
        <f>Регистрация!N74</f>
        <v>Орлова Е.С 3 К</v>
      </c>
      <c r="P48" s="554"/>
      <c r="Q48" s="554"/>
      <c r="R48" s="322"/>
    </row>
    <row r="49" spans="1:4" s="77" customFormat="1" ht="13">
      <c r="A49" s="84"/>
      <c r="D49" s="84"/>
    </row>
    <row r="50" spans="1:4" s="77" customFormat="1" ht="13"/>
    <row r="51" spans="1:4" s="77" customFormat="1" ht="13"/>
    <row r="52" spans="1:4" s="77" customFormat="1" ht="13"/>
    <row r="53" spans="1:4" s="77" customFormat="1" ht="13"/>
    <row r="54" spans="1:4" s="77" customFormat="1" ht="13"/>
    <row r="55" spans="1:4" s="77" customFormat="1" ht="13"/>
    <row r="56" spans="1:4" s="77" customFormat="1" ht="13"/>
    <row r="57" spans="1:4" s="77" customFormat="1" ht="13"/>
    <row r="58" spans="1:4" s="77" customFormat="1" ht="13"/>
    <row r="59" spans="1:4" s="77" customFormat="1" ht="13"/>
    <row r="60" spans="1:4" s="77" customFormat="1" ht="13"/>
    <row r="61" spans="1:4" s="77" customFormat="1" ht="13"/>
    <row r="62" spans="1:4" s="77" customFormat="1" ht="13"/>
    <row r="63" spans="1:4" s="77" customFormat="1" ht="13"/>
    <row r="64" spans="1:4" s="77" customFormat="1" ht="13"/>
    <row r="65" spans="1:4" s="77" customFormat="1" ht="13"/>
    <row r="66" spans="1:4" s="77" customFormat="1" ht="13">
      <c r="A66" s="84"/>
      <c r="D66" s="84"/>
    </row>
  </sheetData>
  <mergeCells count="60">
    <mergeCell ref="B8:C8"/>
    <mergeCell ref="B1:Q1"/>
    <mergeCell ref="B3:Q3"/>
    <mergeCell ref="G5:M5"/>
    <mergeCell ref="G7:M7"/>
    <mergeCell ref="A5:E5"/>
    <mergeCell ref="B16:C16"/>
    <mergeCell ref="B9:E9"/>
    <mergeCell ref="I9:K9"/>
    <mergeCell ref="O9:Q9"/>
    <mergeCell ref="B10:C10"/>
    <mergeCell ref="I10:K10"/>
    <mergeCell ref="B11:C11"/>
    <mergeCell ref="B12:C12"/>
    <mergeCell ref="B13:C13"/>
    <mergeCell ref="O13:Q13"/>
    <mergeCell ref="B14:C14"/>
    <mergeCell ref="B15:C15"/>
    <mergeCell ref="B26:C26"/>
    <mergeCell ref="B17:E17"/>
    <mergeCell ref="O17:Q17"/>
    <mergeCell ref="B18:C18"/>
    <mergeCell ref="B19:C19"/>
    <mergeCell ref="B20:C20"/>
    <mergeCell ref="B21:E21"/>
    <mergeCell ref="O21:Q21"/>
    <mergeCell ref="B22:C22"/>
    <mergeCell ref="B23:C23"/>
    <mergeCell ref="B24:C24"/>
    <mergeCell ref="B25:E25"/>
    <mergeCell ref="O25:Q25"/>
    <mergeCell ref="B36:C36"/>
    <mergeCell ref="B27:C27"/>
    <mergeCell ref="B28:C28"/>
    <mergeCell ref="B29:E29"/>
    <mergeCell ref="O29:Q29"/>
    <mergeCell ref="B30:C30"/>
    <mergeCell ref="B31:C31"/>
    <mergeCell ref="B32:C32"/>
    <mergeCell ref="B33:E33"/>
    <mergeCell ref="O33:Q33"/>
    <mergeCell ref="B34:C34"/>
    <mergeCell ref="B35:C35"/>
    <mergeCell ref="C44:F44"/>
    <mergeCell ref="B37:E37"/>
    <mergeCell ref="O37:Q37"/>
    <mergeCell ref="B38:C38"/>
    <mergeCell ref="H38:L38"/>
    <mergeCell ref="A40:E40"/>
    <mergeCell ref="I40:K40"/>
    <mergeCell ref="C41:F41"/>
    <mergeCell ref="M41:N41"/>
    <mergeCell ref="C42:F42"/>
    <mergeCell ref="I42:K42"/>
    <mergeCell ref="C43:F43"/>
    <mergeCell ref="C45:F45"/>
    <mergeCell ref="A46:C46"/>
    <mergeCell ref="O46:Q46"/>
    <mergeCell ref="A48:C48"/>
    <mergeCell ref="O48:Q48"/>
  </mergeCells>
  <pageMargins left="0.28999999999999998" right="0.16" top="0.24" bottom="0.17" header="0.11" footer="0.15"/>
  <pageSetup paperSize="9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R66"/>
  <sheetViews>
    <sheetView showGridLines="0" showZeros="0" topLeftCell="A3" workbookViewId="0">
      <selection activeCell="A8" sqref="A8"/>
    </sheetView>
  </sheetViews>
  <sheetFormatPr defaultColWidth="9.1796875" defaultRowHeight="11.15" customHeight="1"/>
  <cols>
    <col min="1" max="1" width="1.81640625" style="8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303" bestFit="1" customWidth="1"/>
    <col min="19" max="16384" width="9.1796875" style="77"/>
  </cols>
  <sheetData>
    <row r="1" spans="1:18" ht="14.25" customHeight="1">
      <c r="A1" s="76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6" customFormat="1" ht="12.75" customHeight="1">
      <c r="A5" s="572" t="str">
        <f>Регистрация!A3</f>
        <v>Женщины 18 +  ОК-двоеборье</v>
      </c>
      <c r="B5" s="572"/>
      <c r="C5" s="572"/>
      <c r="D5" s="572"/>
      <c r="E5" s="572"/>
      <c r="F5" s="572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3" t="str">
        <f>Регистрация!L3</f>
        <v>27 сентября 2025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5">
      <c r="A7" s="8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303"/>
    </row>
    <row r="8" spans="1:18" s="133" customFormat="1" ht="11.25" customHeight="1">
      <c r="A8" s="165"/>
      <c r="B8" s="558"/>
      <c r="C8" s="558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52"/>
      <c r="D9" s="55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3"/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 t="e">
        <f>IF(I9=0," ",CONCATENATE(VLOOKUP(I9,Регистрация!$B$7:$N$39,3,FALSE)," ",VLOOKUP(I9,Регистрация!$B$7:$N$39,4,FALSE)))</f>
        <v>#N/A</v>
      </c>
      <c r="K9" s="564" t="e">
        <f>IF(J9=0," ",CONCATENATE(VLOOKUP(J9,Регистрация!$B$7:$N$39,3,FALSE)," ",VLOOKUP(J9,Регистрация!$B$7:$N$39,4,FALSE)))</f>
        <v>#N/A</v>
      </c>
      <c r="O9" s="555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6"/>
      <c r="Q9" s="557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8"/>
      <c r="C10" s="558"/>
      <c r="D10" s="165"/>
      <c r="E10" s="306"/>
      <c r="F10" s="108"/>
      <c r="G10" s="108"/>
      <c r="H10" s="108"/>
      <c r="I10" s="569" t="s">
        <v>0</v>
      </c>
      <c r="J10" s="569"/>
      <c r="K10" s="569"/>
      <c r="O10" s="307"/>
      <c r="P10" s="165"/>
      <c r="Q10" s="304"/>
      <c r="R10" s="165"/>
    </row>
    <row r="11" spans="1:18" s="133" customFormat="1" ht="11.25" customHeight="1">
      <c r="A11" s="165"/>
      <c r="B11" s="558"/>
      <c r="C11" s="558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255"/>
      <c r="M11" s="79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165"/>
      <c r="E12" s="308"/>
      <c r="F12" s="47"/>
      <c r="G12" s="309"/>
      <c r="H12" s="108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8"/>
      <c r="C13" s="558"/>
      <c r="D13" s="46"/>
      <c r="E13" s="259"/>
      <c r="F13" s="47"/>
      <c r="G13" s="311"/>
      <c r="H13" s="108"/>
      <c r="I13" s="108"/>
      <c r="J13" s="108"/>
      <c r="K13" s="255"/>
      <c r="M13" s="312"/>
      <c r="N13" s="47"/>
      <c r="O13" s="35"/>
      <c r="P13" s="46"/>
      <c r="Q13" s="304"/>
      <c r="R13" s="165"/>
    </row>
    <row r="14" spans="1:18" s="133" customFormat="1" ht="11.25" customHeight="1">
      <c r="A14" s="98">
        <v>17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165"/>
      <c r="E14" s="313"/>
      <c r="F14" s="47"/>
      <c r="G14" s="311"/>
      <c r="H14" s="108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8"/>
      <c r="C15" s="558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58"/>
      <c r="C16" s="558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51" t="str">
        <f>IF(Регистрация!$D$6&lt;A17," ",CONCATENATE(VLOOKUP(A17,Регистрация!$B$7:$N$39,3,FALSE)," ",VLOOKUP(A17,Регистрация!$B$7:$N$39,4,FALSE)," ","(",VLOOKUP(A17,Регистрация!$B$7:$N$39,11,FALSE),")"))</f>
        <v>Носкова Александра (Политех)</v>
      </c>
      <c r="C17" s="552"/>
      <c r="D17" s="552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53"/>
      <c r="F17" s="47"/>
      <c r="G17" s="311"/>
      <c r="H17" s="47"/>
      <c r="I17" s="311"/>
      <c r="J17" s="108"/>
      <c r="K17" s="312"/>
      <c r="L17" s="47"/>
      <c r="M17" s="312"/>
      <c r="N17" s="47"/>
      <c r="O17" s="555" t="str">
        <f>IF(Регистрация!$D$6&lt;R17," ",CONCATENATE(VLOOKUP(R17,Регистрация!$B$7:$N$39,3,FALSE)," ",VLOOKUP(R17,Регистрация!$B$7:$N$39,4,FALSE)," ","(",VLOOKUP(R17,Регистрация!$B$7:$N$39,11,FALSE),")"))</f>
        <v>Павлова Мария (Политех)</v>
      </c>
      <c r="P17" s="556"/>
      <c r="Q17" s="557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58"/>
      <c r="C18" s="558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58"/>
      <c r="C19" s="558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165"/>
      <c r="B20" s="558"/>
      <c r="C20" s="558"/>
      <c r="D20" s="165"/>
      <c r="E20" s="306"/>
      <c r="F20" s="47"/>
      <c r="G20" s="316"/>
      <c r="H20" s="47"/>
      <c r="I20" s="311"/>
      <c r="J20" s="125"/>
      <c r="K20" s="312"/>
      <c r="L20" s="47"/>
      <c r="M20" s="317"/>
      <c r="N20" s="47"/>
      <c r="O20" s="307"/>
      <c r="P20" s="165"/>
      <c r="Q20" s="304"/>
      <c r="R20" s="165"/>
    </row>
    <row r="21" spans="1:18" ht="11.25" customHeight="1">
      <c r="A21" s="98">
        <v>13</v>
      </c>
      <c r="B21" s="551" t="str">
        <f>IF(Регистрация!$D$6&lt;A21," ",CONCATENATE(VLOOKUP(A21,Регистрация!$B$7:$N$39,3,FALSE)," ",VLOOKUP(A21,Регистрация!$B$7:$N$39,4,FALSE)," ","(",VLOOKUP(A21,Регистрация!$B$7:$N$39,11,FALSE),")"))</f>
        <v xml:space="preserve"> </v>
      </c>
      <c r="C21" s="552"/>
      <c r="D21" s="552" t="e">
        <f>IF(Регистрация!$D$6&lt;C21," ",CONCATENATE(VLOOKUP(C21,Регистрация!$B$7:$N$39,3,FALSE)," ",VLOOKUP(C21,Регистрация!$B$7:$N$39,4,FALSE)," ","(",VLOOKUP(C21,Регистрация!$B$7:$N$39,11,FALSE),")"))</f>
        <v>#N/A</v>
      </c>
      <c r="E21" s="553"/>
      <c r="F21" s="47"/>
      <c r="G21" s="316"/>
      <c r="H21" s="47"/>
      <c r="I21" s="311"/>
      <c r="K21" s="312"/>
      <c r="L21" s="47"/>
      <c r="M21" s="317"/>
      <c r="N21" s="47"/>
      <c r="O21" s="555" t="str">
        <f>IF(Регистрация!$D$6&lt;R21," ",CONCATENATE(VLOOKUP(R21,Регистрация!$B$7:$N$39,3,FALSE)," ",VLOOKUP(R21,Регистрация!$B$7:$N$39,4,FALSE)," ","(",VLOOKUP(R21,Регистрация!$B$7:$N$39,11,FALSE),")"))</f>
        <v xml:space="preserve"> </v>
      </c>
      <c r="P21" s="556"/>
      <c r="Q21" s="557" t="e">
        <f>IF(Регистрация!$D$6&lt;P21," ",CONCATENATE(VLOOKUP(P21,Регистрация!$B$7:$N$39,3,FALSE)," ",VLOOKUP(P21,Регистрация!$B$7:$N$39,4,FALSE)," ","(",VLOOKUP(P21,Регистрация!$B$7:$N$39,11,FALSE),")"))</f>
        <v>#N/A</v>
      </c>
      <c r="R21" s="98">
        <v>14</v>
      </c>
    </row>
    <row r="22" spans="1:18" ht="11.25" customHeight="1">
      <c r="A22" s="165"/>
      <c r="B22" s="558"/>
      <c r="C22" s="558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04"/>
      <c r="R22" s="165"/>
    </row>
    <row r="23" spans="1:18" ht="11.25" customHeight="1">
      <c r="A23" s="165"/>
      <c r="B23" s="558"/>
      <c r="C23" s="558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58"/>
      <c r="C24" s="558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51" t="str">
        <f>IF(Регистрация!$D$6&lt;A25," ",CONCATENATE(VLOOKUP(A25,Регистрация!$B$7:$N$39,3,FALSE)," ",VLOOKUP(A25,Регистрация!$B$7:$N$39,4,FALSE)," ","(",VLOOKUP(A25,Регистрация!$B$7:$N$39,11,FALSE),")"))</f>
        <v>Паранина Полина (Политех)</v>
      </c>
      <c r="C25" s="552"/>
      <c r="D25" s="552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53"/>
      <c r="F25" s="47"/>
      <c r="G25" s="316"/>
      <c r="H25" s="47"/>
      <c r="I25" s="311"/>
      <c r="K25" s="312"/>
      <c r="L25" s="47"/>
      <c r="M25" s="317"/>
      <c r="N25" s="47"/>
      <c r="O25" s="555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6"/>
      <c r="Q25" s="557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58"/>
      <c r="C26" s="558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8"/>
      <c r="C27" s="558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165"/>
      <c r="B28" s="558"/>
      <c r="C28" s="558"/>
      <c r="D28" s="165"/>
      <c r="E28" s="306"/>
      <c r="F28" s="47"/>
      <c r="G28" s="309"/>
      <c r="H28" s="47"/>
      <c r="I28" s="311"/>
      <c r="K28" s="312"/>
      <c r="L28" s="47"/>
      <c r="M28" s="310"/>
      <c r="N28" s="47"/>
      <c r="O28" s="307"/>
      <c r="P28" s="165"/>
      <c r="Q28" s="304"/>
      <c r="R28" s="165"/>
    </row>
    <row r="29" spans="1:18" ht="11.25" customHeight="1">
      <c r="A29" s="98">
        <v>11</v>
      </c>
      <c r="B29" s="551" t="str">
        <f>IF(Регистрация!$D$6&lt;A29," ",CONCATENATE(VLOOKUP(A29,Регистрация!$B$7:$N$39,3,FALSE)," ",VLOOKUP(A29,Регистрация!$B$7:$N$39,4,FALSE)," ","(",VLOOKUP(A29,Регистрация!$B$7:$N$39,11,FALSE),")"))</f>
        <v xml:space="preserve"> </v>
      </c>
      <c r="C29" s="552"/>
      <c r="D29" s="552" t="e">
        <f>IF(Регистрация!$D$6&lt;C29," ",CONCATENATE(VLOOKUP(C29,Регистрация!$B$7:$N$39,3,FALSE)," ",VLOOKUP(C29,Регистрация!$B$7:$N$39,4,FALSE)," ","(",VLOOKUP(C29,Регистрация!$B$7:$N$39,11,FALSE),")"))</f>
        <v>#N/A</v>
      </c>
      <c r="E29" s="553"/>
      <c r="F29" s="47"/>
      <c r="G29" s="311"/>
      <c r="H29" s="47"/>
      <c r="I29" s="311"/>
      <c r="K29" s="312"/>
      <c r="L29" s="47"/>
      <c r="M29" s="312"/>
      <c r="N29" s="47"/>
      <c r="O29" s="555" t="str">
        <f>IF(Регистрация!$D$6&lt;R29," ",CONCATENATE(VLOOKUP(R29,Регистрация!$B$7:$N$39,3,FALSE)," ",VLOOKUP(R29,Регистрация!$B$7:$N$39,4,FALSE)," ","(",VLOOKUP(R29,Регистрация!$B$7:$N$39,11,FALSE),")"))</f>
        <v xml:space="preserve"> </v>
      </c>
      <c r="P29" s="556"/>
      <c r="Q29" s="557" t="e">
        <f>IF(Регистрация!$D$6&lt;P29," ",CONCATENATE(VLOOKUP(P29,Регистрация!$B$7:$N$39,3,FALSE)," ",VLOOKUP(P29,Регистрация!$B$7:$N$39,4,FALSE)," ","(",VLOOKUP(P29,Регистрация!$B$7:$N$39,11,FALSE),")"))</f>
        <v>#N/A</v>
      </c>
      <c r="R29" s="98">
        <v>12</v>
      </c>
    </row>
    <row r="30" spans="1:18" ht="11.25" customHeight="1">
      <c r="A30" s="165"/>
      <c r="B30" s="558"/>
      <c r="C30" s="558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04"/>
      <c r="R30" s="165"/>
    </row>
    <row r="31" spans="1:18" ht="11.25" customHeight="1">
      <c r="A31" s="165"/>
      <c r="B31" s="558"/>
      <c r="C31" s="558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8"/>
      <c r="C32" s="558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1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2"/>
      <c r="D33" s="552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3"/>
      <c r="F33" s="47"/>
      <c r="G33" s="311"/>
      <c r="H33" s="144"/>
      <c r="I33" s="144"/>
      <c r="M33" s="312"/>
      <c r="N33" s="47"/>
      <c r="O33" s="555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6"/>
      <c r="Q33" s="557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58"/>
      <c r="C34" s="558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8"/>
      <c r="C35" s="558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165"/>
      <c r="B36" s="558"/>
      <c r="C36" s="558"/>
      <c r="D36" s="165"/>
      <c r="E36" s="306"/>
      <c r="F36" s="144"/>
      <c r="G36" s="144"/>
      <c r="H36" s="144"/>
      <c r="I36" s="144"/>
      <c r="O36" s="307"/>
      <c r="P36" s="165"/>
      <c r="Q36" s="304"/>
      <c r="R36" s="165"/>
    </row>
    <row r="37" spans="1:18" ht="11.25" customHeight="1">
      <c r="A37" s="98">
        <v>15</v>
      </c>
      <c r="B37" s="551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52"/>
      <c r="D37" s="552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53"/>
      <c r="F37" s="144"/>
      <c r="G37" s="144"/>
      <c r="H37" s="265"/>
      <c r="I37" s="318"/>
      <c r="J37" s="108"/>
      <c r="O37" s="555" t="str">
        <f>IF(Регистрация!$D$6&lt;R37," ",CONCATENATE(VLOOKUP(R37,Регистрация!$B$7:$N$39,3,FALSE)," ",VLOOKUP(R37,Регистрация!$B$7:$N$39,4,FALSE)," ","(",VLOOKUP(R37,Регистрация!$B$7:$N$39,11,FALSE),")"))</f>
        <v xml:space="preserve"> </v>
      </c>
      <c r="P37" s="556"/>
      <c r="Q37" s="557" t="e">
        <f>IF(Регистрация!$D$6&lt;P37," ",CONCATENATE(VLOOKUP(P37,Регистрация!$B$7:$N$39,3,FALSE)," ",VLOOKUP(P37,Регистрация!$B$7:$N$39,4,FALSE)," ","(",VLOOKUP(P37,Регистрация!$B$7:$N$39,11,FALSE),")"))</f>
        <v>#N/A</v>
      </c>
      <c r="R37" s="98">
        <v>16</v>
      </c>
    </row>
    <row r="38" spans="1:18" ht="11.25" customHeight="1">
      <c r="A38" s="165"/>
      <c r="B38" s="558"/>
      <c r="C38" s="558"/>
      <c r="D38" s="142"/>
      <c r="E38" s="110"/>
      <c r="F38" s="254"/>
      <c r="G38" s="254"/>
      <c r="H38" s="559" t="s">
        <v>25</v>
      </c>
      <c r="I38" s="559"/>
      <c r="J38" s="559"/>
      <c r="K38" s="559"/>
      <c r="L38" s="559"/>
      <c r="Q38" s="304"/>
      <c r="R38" s="165"/>
    </row>
    <row r="39" spans="1:18" ht="12" customHeight="1">
      <c r="D39" s="178"/>
      <c r="E39" s="128"/>
      <c r="H39" s="265"/>
      <c r="J39" s="108"/>
    </row>
    <row r="40" spans="1:18" ht="12" customHeight="1">
      <c r="A40" s="560" t="s">
        <v>16</v>
      </c>
      <c r="B40" s="560"/>
      <c r="C40" s="561"/>
      <c r="D40" s="561"/>
      <c r="E40" s="561"/>
      <c r="H40" s="98">
        <f>IF(H23=0,0,IF(H23=H15,H31,H15))</f>
        <v>0</v>
      </c>
      <c r="I40" s="562" t="str">
        <f>IF(H40=0," ",CONCATENATE(VLOOKUP(H40,Регистрация!$B$7:$N$39,3,FALSE)," ",VLOOKUP(H40,Регистрация!$B$7:$N$39,4,FALSE)))</f>
        <v xml:space="preserve"> </v>
      </c>
      <c r="J40" s="563" t="e">
        <f>IF(I40=0," ",CONCATENATE(VLOOKUP(I40,Регистрация!$B$7:$N$39,3,FALSE)," ",VLOOKUP(I40,Регистрация!$B$7:$N$39,4,FALSE)))</f>
        <v>#N/A</v>
      </c>
      <c r="K40" s="564" t="e">
        <f>IF(J40=0," ",CONCATENATE(VLOOKUP(J40,Регистрация!$B$7:$N$39,3,FALSE)," ",VLOOKUP(J40,Регистрация!$B$7:$N$39,4,FALSE)))</f>
        <v>#N/A</v>
      </c>
    </row>
    <row r="41" spans="1:18" ht="12" customHeight="1">
      <c r="A41" s="80"/>
      <c r="B41" s="319" t="s">
        <v>28</v>
      </c>
      <c r="C41" s="573" t="s">
        <v>17</v>
      </c>
      <c r="D41" s="574"/>
      <c r="E41" s="574"/>
      <c r="F41" s="575"/>
      <c r="H41" s="165"/>
      <c r="I41" s="320"/>
      <c r="J41" s="167"/>
      <c r="K41" s="167"/>
      <c r="L41" s="46"/>
      <c r="M41" s="568" t="str">
        <f>IF(L41=0," ",CONCATENATE(VLOOKUP(L41,Регистрация!$B$7:$N$39,3,FALSE)," ",VLOOKUP(L41,Регистрация!$B$7:$N$39,4,FALSE)))</f>
        <v xml:space="preserve"> </v>
      </c>
      <c r="N41" s="568"/>
    </row>
    <row r="42" spans="1:18" ht="12" customHeight="1">
      <c r="A42" s="89">
        <f>H9</f>
        <v>0</v>
      </c>
      <c r="B42" s="97">
        <v>1</v>
      </c>
      <c r="C42" s="551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52"/>
      <c r="E42" s="552"/>
      <c r="F42" s="553"/>
      <c r="G42" s="111"/>
      <c r="H42" s="98">
        <f>IF(L23=0,0,IF(L23=L15,L31,L15))</f>
        <v>0</v>
      </c>
      <c r="I42" s="562" t="str">
        <f>IF(H42=0," ",CONCATENATE(VLOOKUP(H42,Регистрация!$B$7:$N$39,3,FALSE)," ",VLOOKUP(H42,Регистрация!$B$7:$N$39,4,FALSE)))</f>
        <v xml:space="preserve"> </v>
      </c>
      <c r="J42" s="563" t="e">
        <f>IF(I42=0," ",CONCATENATE(VLOOKUP(I42,Регистрация!$B$7:$N$39,3,FALSE)," ",VLOOKUP(I42,Регистрация!$B$7:$N$39,4,FALSE)))</f>
        <v>#N/A</v>
      </c>
      <c r="K42" s="564" t="e">
        <f>IF(J42=0," ",CONCATENATE(VLOOKUP(J42,Регистрация!$B$7:$N$39,3,FALSE)," ",VLOOKUP(J42,Регистрация!$B$7:$N$39,4,FALSE)))</f>
        <v>#N/A</v>
      </c>
    </row>
    <row r="43" spans="1:18" ht="12" customHeight="1">
      <c r="A43" s="89">
        <f>IF(H9=0,0,IF(H23=H9,L23,H23))</f>
        <v>0</v>
      </c>
      <c r="B43" s="97">
        <v>2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</row>
    <row r="44" spans="1:18" ht="12" customHeight="1">
      <c r="A44" s="89">
        <f>L41</f>
        <v>0</v>
      </c>
      <c r="B44" s="97">
        <v>3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2" customHeight="1">
      <c r="A45" s="89">
        <f>IF(L41=0,0,IF(L41=H40,H42,H40))</f>
        <v>0</v>
      </c>
      <c r="B45" s="97">
        <v>4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  <c r="K45" s="576"/>
      <c r="L45" s="576"/>
      <c r="M45" s="576"/>
    </row>
    <row r="46" spans="1:18" s="78" customFormat="1" ht="23.25" customHeight="1">
      <c r="A46" s="554" t="str">
        <f>Регистрация!F73</f>
        <v>Главный судья:</v>
      </c>
      <c r="B46" s="554"/>
      <c r="C46" s="554"/>
      <c r="D46" s="178"/>
      <c r="E46" s="168"/>
      <c r="F46" s="168"/>
      <c r="G46" s="168"/>
      <c r="H46" s="321"/>
      <c r="I46" s="321"/>
      <c r="J46" s="321"/>
      <c r="K46" s="321"/>
      <c r="L46" s="321"/>
      <c r="M46" s="168"/>
      <c r="N46" s="168"/>
      <c r="O46" s="554" t="str">
        <f>Регистрация!N73</f>
        <v>Цыльев В.А. С1К</v>
      </c>
      <c r="P46" s="554"/>
      <c r="Q46" s="554"/>
      <c r="R46" s="322"/>
    </row>
    <row r="47" spans="1:18" s="78" customFormat="1" ht="13.5" customHeight="1">
      <c r="A47" s="178"/>
      <c r="B47" s="168"/>
      <c r="C47" s="168"/>
      <c r="D47" s="17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322"/>
    </row>
    <row r="48" spans="1:18" s="78" customFormat="1" ht="15.75" customHeight="1">
      <c r="A48" s="554" t="str">
        <f>Регистрация!F74</f>
        <v>Главный секретерь:</v>
      </c>
      <c r="B48" s="554"/>
      <c r="C48" s="554"/>
      <c r="D48" s="178"/>
      <c r="E48" s="168"/>
      <c r="F48" s="168"/>
      <c r="G48" s="168"/>
      <c r="H48" s="321"/>
      <c r="I48" s="321"/>
      <c r="J48" s="321"/>
      <c r="K48" s="321"/>
      <c r="L48" s="321"/>
      <c r="M48" s="168"/>
      <c r="N48" s="168"/>
      <c r="O48" s="554" t="str">
        <f>Регистрация!N74</f>
        <v>Орлова Е.С 3 К</v>
      </c>
      <c r="P48" s="554"/>
      <c r="Q48" s="554"/>
      <c r="R48" s="322"/>
    </row>
    <row r="49" spans="1:4" s="77" customFormat="1" ht="13">
      <c r="A49" s="84"/>
      <c r="D49" s="84"/>
    </row>
    <row r="50" spans="1:4" s="77" customFormat="1" ht="13"/>
    <row r="51" spans="1:4" s="77" customFormat="1" ht="13"/>
    <row r="52" spans="1:4" s="77" customFormat="1" ht="13"/>
    <row r="53" spans="1:4" s="77" customFormat="1" ht="13"/>
    <row r="54" spans="1:4" s="77" customFormat="1" ht="13"/>
    <row r="55" spans="1:4" s="77" customFormat="1" ht="13"/>
    <row r="56" spans="1:4" s="77" customFormat="1" ht="13"/>
    <row r="57" spans="1:4" s="77" customFormat="1" ht="13"/>
    <row r="58" spans="1:4" s="77" customFormat="1" ht="13"/>
    <row r="59" spans="1:4" s="77" customFormat="1" ht="13"/>
    <row r="60" spans="1:4" s="77" customFormat="1" ht="13"/>
    <row r="61" spans="1:4" s="77" customFormat="1" ht="13"/>
    <row r="62" spans="1:4" s="77" customFormat="1" ht="13"/>
    <row r="63" spans="1:4" s="77" customFormat="1" ht="13"/>
    <row r="64" spans="1:4" s="77" customFormat="1" ht="13"/>
    <row r="65" spans="1:4" s="77" customFormat="1" ht="13"/>
    <row r="66" spans="1:4" s="77" customFormat="1" ht="13">
      <c r="A66" s="84"/>
      <c r="D66" s="84"/>
    </row>
  </sheetData>
  <mergeCells count="60">
    <mergeCell ref="C45:F45"/>
    <mergeCell ref="A46:C46"/>
    <mergeCell ref="O46:Q46"/>
    <mergeCell ref="A48:C48"/>
    <mergeCell ref="O48:Q48"/>
    <mergeCell ref="K45:M45"/>
    <mergeCell ref="C44:F44"/>
    <mergeCell ref="B37:E37"/>
    <mergeCell ref="O37:Q37"/>
    <mergeCell ref="B38:C38"/>
    <mergeCell ref="H38:L38"/>
    <mergeCell ref="A40:E40"/>
    <mergeCell ref="I40:K40"/>
    <mergeCell ref="C41:F41"/>
    <mergeCell ref="M41:N41"/>
    <mergeCell ref="C42:F42"/>
    <mergeCell ref="I42:K42"/>
    <mergeCell ref="C43:F43"/>
    <mergeCell ref="B36:C36"/>
    <mergeCell ref="B27:C27"/>
    <mergeCell ref="B28:C28"/>
    <mergeCell ref="B29:E29"/>
    <mergeCell ref="O29:Q29"/>
    <mergeCell ref="B30:C30"/>
    <mergeCell ref="B31:C31"/>
    <mergeCell ref="B32:C32"/>
    <mergeCell ref="B33:E33"/>
    <mergeCell ref="O33:Q33"/>
    <mergeCell ref="B34:C34"/>
    <mergeCell ref="B35:C35"/>
    <mergeCell ref="B26:C26"/>
    <mergeCell ref="O17:Q17"/>
    <mergeCell ref="B18:C18"/>
    <mergeCell ref="B19:C19"/>
    <mergeCell ref="B20:C20"/>
    <mergeCell ref="B21:E21"/>
    <mergeCell ref="O21:Q21"/>
    <mergeCell ref="B17:E17"/>
    <mergeCell ref="B22:C22"/>
    <mergeCell ref="B23:C23"/>
    <mergeCell ref="B24:C24"/>
    <mergeCell ref="B25:E25"/>
    <mergeCell ref="O25:Q25"/>
    <mergeCell ref="B12:C12"/>
    <mergeCell ref="B13:C13"/>
    <mergeCell ref="B14:C14"/>
    <mergeCell ref="B15:C15"/>
    <mergeCell ref="B16:C16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F5"/>
  </mergeCells>
  <pageMargins left="0.32" right="0.16" top="0.18" bottom="0.25" header="0.11" footer="0.15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R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1.81640625" style="8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303" bestFit="1" customWidth="1"/>
    <col min="19" max="16384" width="9.1796875" style="77"/>
  </cols>
  <sheetData>
    <row r="1" spans="1:18" ht="14.25" customHeight="1">
      <c r="A1" s="76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6" customFormat="1" ht="12.75" customHeight="1">
      <c r="A5" s="572" t="str">
        <f>Регистрация!A3</f>
        <v>Женщины 18 +  ОК-двоеборье</v>
      </c>
      <c r="B5" s="572"/>
      <c r="C5" s="572"/>
      <c r="D5" s="572"/>
      <c r="E5" s="572"/>
      <c r="F5" s="572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3" t="str">
        <f>Регистрация!L3</f>
        <v>27 сентября 2025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5">
      <c r="A7" s="8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303"/>
    </row>
    <row r="8" spans="1:18" s="133" customFormat="1" ht="11.25" customHeight="1">
      <c r="A8" s="165"/>
      <c r="B8" s="558"/>
      <c r="C8" s="558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52"/>
      <c r="D9" s="55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3"/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 t="e">
        <f>IF(I9=0," ",CONCATENATE(VLOOKUP(I9,Регистрация!$B$7:$N$39,3,FALSE)," ",VLOOKUP(I9,Регистрация!$B$7:$N$39,4,FALSE)))</f>
        <v>#N/A</v>
      </c>
      <c r="K9" s="564" t="e">
        <f>IF(J9=0," ",CONCATENATE(VLOOKUP(J9,Регистрация!$B$7:$N$39,3,FALSE)," ",VLOOKUP(J9,Регистрация!$B$7:$N$39,4,FALSE)))</f>
        <v>#N/A</v>
      </c>
      <c r="O9" s="555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6"/>
      <c r="Q9" s="557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8"/>
      <c r="C10" s="558"/>
      <c r="D10" s="165"/>
      <c r="E10" s="306"/>
      <c r="F10" s="108"/>
      <c r="G10" s="108"/>
      <c r="H10" s="108"/>
      <c r="I10" s="569" t="s">
        <v>0</v>
      </c>
      <c r="J10" s="569"/>
      <c r="K10" s="569"/>
      <c r="O10" s="307"/>
      <c r="P10" s="165"/>
      <c r="Q10" s="304"/>
      <c r="R10" s="165"/>
    </row>
    <row r="11" spans="1:18" s="133" customFormat="1" ht="11.25" customHeight="1">
      <c r="A11" s="165"/>
      <c r="B11" s="558"/>
      <c r="C11" s="558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255"/>
      <c r="M11" s="79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165"/>
      <c r="E12" s="308"/>
      <c r="F12" s="47"/>
      <c r="G12" s="309"/>
      <c r="H12" s="108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8"/>
      <c r="C13" s="558"/>
      <c r="D13" s="46"/>
      <c r="E13" s="259"/>
      <c r="F13" s="47"/>
      <c r="G13" s="311"/>
      <c r="H13" s="108"/>
      <c r="I13" s="108"/>
      <c r="J13" s="108"/>
      <c r="K13" s="255"/>
      <c r="M13" s="312"/>
      <c r="N13" s="47"/>
      <c r="O13" s="35"/>
      <c r="P13" s="46"/>
      <c r="Q13" s="304"/>
      <c r="R13" s="165"/>
    </row>
    <row r="14" spans="1:18" s="133" customFormat="1" ht="11.25" customHeight="1">
      <c r="A14" s="98">
        <v>17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165"/>
      <c r="E14" s="313"/>
      <c r="F14" s="47"/>
      <c r="G14" s="311"/>
      <c r="H14" s="108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8"/>
      <c r="C15" s="558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58"/>
      <c r="C16" s="558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51" t="str">
        <f>IF(Регистрация!$D$6&lt;A17," ",CONCATENATE(VLOOKUP(A17,Регистрация!$B$7:$N$39,3,FALSE)," ",VLOOKUP(A17,Регистрация!$B$7:$N$39,4,FALSE)," ","(",VLOOKUP(A17,Регистрация!$B$7:$N$39,11,FALSE),")"))</f>
        <v>Носкова Александра (Политех)</v>
      </c>
      <c r="C17" s="552"/>
      <c r="D17" s="552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53"/>
      <c r="F17" s="47"/>
      <c r="G17" s="311"/>
      <c r="H17" s="47"/>
      <c r="I17" s="311"/>
      <c r="J17" s="108"/>
      <c r="K17" s="312"/>
      <c r="L17" s="47"/>
      <c r="M17" s="312"/>
      <c r="N17" s="47"/>
      <c r="O17" s="555" t="str">
        <f>IF(Регистрация!$D$6&lt;R17," ",CONCATENATE(VLOOKUP(R17,Регистрация!$B$7:$N$39,3,FALSE)," ",VLOOKUP(R17,Регистрация!$B$7:$N$39,4,FALSE)," ","(",VLOOKUP(R17,Регистрация!$B$7:$N$39,11,FALSE),")"))</f>
        <v>Павлова Мария (Политех)</v>
      </c>
      <c r="P17" s="556"/>
      <c r="Q17" s="557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58"/>
      <c r="C18" s="558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58"/>
      <c r="C19" s="558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165"/>
      <c r="B20" s="558"/>
      <c r="C20" s="558"/>
      <c r="D20" s="165"/>
      <c r="E20" s="306"/>
      <c r="F20" s="47"/>
      <c r="G20" s="316"/>
      <c r="H20" s="47"/>
      <c r="I20" s="311"/>
      <c r="J20" s="125"/>
      <c r="K20" s="312"/>
      <c r="L20" s="47"/>
      <c r="M20" s="317"/>
      <c r="N20" s="47"/>
      <c r="O20" s="307"/>
      <c r="P20" s="165"/>
      <c r="Q20" s="304"/>
      <c r="R20" s="165"/>
    </row>
    <row r="21" spans="1:18" ht="11.25" customHeight="1">
      <c r="A21" s="98">
        <v>13</v>
      </c>
      <c r="B21" s="551" t="str">
        <f>IF(Регистрация!$D$6&lt;A21," ",CONCATENATE(VLOOKUP(A21,Регистрация!$B$7:$N$39,3,FALSE)," ",VLOOKUP(A21,Регистрация!$B$7:$N$39,4,FALSE)," ","(",VLOOKUP(A21,Регистрация!$B$7:$N$39,11,FALSE),")"))</f>
        <v xml:space="preserve"> </v>
      </c>
      <c r="C21" s="552"/>
      <c r="D21" s="552" t="e">
        <f>IF(Регистрация!$D$6&lt;C21," ",CONCATENATE(VLOOKUP(C21,Регистрация!$B$7:$N$39,3,FALSE)," ",VLOOKUP(C21,Регистрация!$B$7:$N$39,4,FALSE)," ","(",VLOOKUP(C21,Регистрация!$B$7:$N$39,11,FALSE),")"))</f>
        <v>#N/A</v>
      </c>
      <c r="E21" s="553"/>
      <c r="F21" s="47"/>
      <c r="G21" s="316"/>
      <c r="H21" s="47"/>
      <c r="I21" s="311"/>
      <c r="K21" s="312"/>
      <c r="L21" s="47"/>
      <c r="M21" s="317"/>
      <c r="N21" s="47"/>
      <c r="O21" s="555" t="str">
        <f>IF(Регистрация!$D$6&lt;R21," ",CONCATENATE(VLOOKUP(R21,Регистрация!$B$7:$N$39,3,FALSE)," ",VLOOKUP(R21,Регистрация!$B$7:$N$39,4,FALSE)," ","(",VLOOKUP(R21,Регистрация!$B$7:$N$39,11,FALSE),")"))</f>
        <v xml:space="preserve"> </v>
      </c>
      <c r="P21" s="556"/>
      <c r="Q21" s="557" t="e">
        <f>IF(Регистрация!$D$6&lt;P21," ",CONCATENATE(VLOOKUP(P21,Регистрация!$B$7:$N$39,3,FALSE)," ",VLOOKUP(P21,Регистрация!$B$7:$N$39,4,FALSE)," ","(",VLOOKUP(P21,Регистрация!$B$7:$N$39,11,FALSE),")"))</f>
        <v>#N/A</v>
      </c>
      <c r="R21" s="98">
        <v>14</v>
      </c>
    </row>
    <row r="22" spans="1:18" ht="11.25" customHeight="1">
      <c r="A22" s="165"/>
      <c r="B22" s="558"/>
      <c r="C22" s="558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04"/>
      <c r="R22" s="165"/>
    </row>
    <row r="23" spans="1:18" ht="11.25" customHeight="1">
      <c r="A23" s="165"/>
      <c r="B23" s="558"/>
      <c r="C23" s="558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58"/>
      <c r="C24" s="558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51" t="str">
        <f>IF(Регистрация!$D$6&lt;A25," ",CONCATENATE(VLOOKUP(A25,Регистрация!$B$7:$N$39,3,FALSE)," ",VLOOKUP(A25,Регистрация!$B$7:$N$39,4,FALSE)," ","(",VLOOKUP(A25,Регистрация!$B$7:$N$39,11,FALSE),")"))</f>
        <v>Паранина Полина (Политех)</v>
      </c>
      <c r="C25" s="552"/>
      <c r="D25" s="552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53"/>
      <c r="F25" s="47"/>
      <c r="G25" s="316"/>
      <c r="H25" s="47"/>
      <c r="I25" s="311"/>
      <c r="K25" s="312"/>
      <c r="L25" s="47"/>
      <c r="M25" s="317"/>
      <c r="N25" s="47"/>
      <c r="O25" s="555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6"/>
      <c r="Q25" s="557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58"/>
      <c r="C26" s="558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8"/>
      <c r="C27" s="558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70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0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07"/>
      <c r="P28" s="165"/>
      <c r="Q28" s="304"/>
      <c r="R28" s="165"/>
    </row>
    <row r="29" spans="1:18" ht="11.25" customHeight="1">
      <c r="A29" s="165"/>
      <c r="B29" s="558"/>
      <c r="C29" s="558"/>
      <c r="D29" s="46"/>
      <c r="E29" s="259"/>
      <c r="F29" s="47"/>
      <c r="G29" s="311"/>
      <c r="H29" s="47"/>
      <c r="I29" s="311"/>
      <c r="K29" s="312"/>
      <c r="L29" s="47"/>
      <c r="M29" s="312"/>
      <c r="N29" s="47"/>
      <c r="O29" s="555" t="str">
        <f>IF(Регистрация!$D$6&lt;R29," ",CONCATENATE(VLOOKUP(R29,Регистрация!$B$7:$N$39,3,FALSE)," ",VLOOKUP(R29,Регистрация!$B$7:$N$39,4,FALSE)," ","(",VLOOKUP(R29,Регистрация!$B$7:$N$39,11,FALSE),")"))</f>
        <v xml:space="preserve"> </v>
      </c>
      <c r="P29" s="556"/>
      <c r="Q29" s="557" t="e">
        <f>IF(Регистрация!$D$6&lt;P29," ",CONCATENATE(VLOOKUP(P29,Регистрация!$B$7:$N$39,3,FALSE)," ",VLOOKUP(P29,Регистрация!$B$7:$N$39,4,FALSE)," ","(",VLOOKUP(P29,Регистрация!$B$7:$N$39,11,FALSE),")"))</f>
        <v>#N/A</v>
      </c>
      <c r="R29" s="98">
        <v>12</v>
      </c>
    </row>
    <row r="30" spans="1:18" ht="11.25" customHeight="1">
      <c r="A30" s="98">
        <v>19</v>
      </c>
      <c r="B30" s="57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0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04"/>
      <c r="R30" s="165"/>
    </row>
    <row r="31" spans="1:18" ht="11.25" customHeight="1">
      <c r="A31" s="165"/>
      <c r="B31" s="558"/>
      <c r="C31" s="558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8"/>
      <c r="C32" s="558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1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2"/>
      <c r="D33" s="552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3"/>
      <c r="F33" s="47"/>
      <c r="G33" s="311"/>
      <c r="H33" s="144"/>
      <c r="I33" s="144"/>
      <c r="M33" s="312"/>
      <c r="N33" s="47"/>
      <c r="O33" s="555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6"/>
      <c r="Q33" s="557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58"/>
      <c r="C34" s="558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8"/>
      <c r="C35" s="558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165"/>
      <c r="B36" s="558"/>
      <c r="C36" s="558"/>
      <c r="D36" s="165"/>
      <c r="E36" s="306"/>
      <c r="F36" s="144"/>
      <c r="G36" s="144"/>
      <c r="H36" s="144"/>
      <c r="I36" s="144"/>
      <c r="O36" s="307"/>
      <c r="P36" s="165"/>
      <c r="Q36" s="304"/>
      <c r="R36" s="165"/>
    </row>
    <row r="37" spans="1:18" ht="11.25" customHeight="1">
      <c r="A37" s="98">
        <v>15</v>
      </c>
      <c r="B37" s="551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52"/>
      <c r="D37" s="552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53"/>
      <c r="F37" s="144"/>
      <c r="G37" s="144"/>
      <c r="H37" s="265"/>
      <c r="I37" s="318"/>
      <c r="J37" s="108"/>
      <c r="O37" s="555" t="str">
        <f>IF(Регистрация!$D$6&lt;R37," ",CONCATENATE(VLOOKUP(R37,Регистрация!$B$7:$N$39,3,FALSE)," ",VLOOKUP(R37,Регистрация!$B$7:$N$39,4,FALSE)," ","(",VLOOKUP(R37,Регистрация!$B$7:$N$39,11,FALSE),")"))</f>
        <v xml:space="preserve"> </v>
      </c>
      <c r="P37" s="556"/>
      <c r="Q37" s="557" t="e">
        <f>IF(Регистрация!$D$6&lt;P37," ",CONCATENATE(VLOOKUP(P37,Регистрация!$B$7:$N$39,3,FALSE)," ",VLOOKUP(P37,Регистрация!$B$7:$N$39,4,FALSE)," ","(",VLOOKUP(P37,Регистрация!$B$7:$N$39,11,FALSE),")"))</f>
        <v>#N/A</v>
      </c>
      <c r="R37" s="98">
        <v>16</v>
      </c>
    </row>
    <row r="38" spans="1:18" ht="11.25" customHeight="1">
      <c r="A38" s="165"/>
      <c r="B38" s="558"/>
      <c r="C38" s="558"/>
      <c r="D38" s="142"/>
      <c r="E38" s="110"/>
      <c r="F38" s="254"/>
      <c r="G38" s="254"/>
      <c r="H38" s="559" t="s">
        <v>25</v>
      </c>
      <c r="I38" s="559"/>
      <c r="J38" s="559"/>
      <c r="K38" s="559"/>
      <c r="L38" s="559"/>
      <c r="Q38" s="304"/>
      <c r="R38" s="165"/>
    </row>
    <row r="39" spans="1:18" ht="12" customHeight="1">
      <c r="D39" s="178"/>
      <c r="E39" s="128"/>
      <c r="H39" s="265"/>
      <c r="J39" s="108"/>
    </row>
    <row r="40" spans="1:18" ht="12" customHeight="1">
      <c r="A40" s="560" t="s">
        <v>16</v>
      </c>
      <c r="B40" s="560"/>
      <c r="C40" s="561"/>
      <c r="D40" s="561"/>
      <c r="E40" s="561"/>
      <c r="H40" s="98">
        <f>IF(H23=0,0,IF(H23=H15,H31,H15))</f>
        <v>0</v>
      </c>
      <c r="I40" s="562" t="str">
        <f>IF(H40=0," ",CONCATENATE(VLOOKUP(H40,Регистрация!$B$7:$N$39,3,FALSE)," ",VLOOKUP(H40,Регистрация!$B$7:$N$39,4,FALSE)))</f>
        <v xml:space="preserve"> </v>
      </c>
      <c r="J40" s="563" t="e">
        <f>IF(I40=0," ",CONCATENATE(VLOOKUP(I40,Регистрация!$B$7:$N$39,3,FALSE)," ",VLOOKUP(I40,Регистрация!$B$7:$N$39,4,FALSE)))</f>
        <v>#N/A</v>
      </c>
      <c r="K40" s="564" t="e">
        <f>IF(J40=0," ",CONCATENATE(VLOOKUP(J40,Регистрация!$B$7:$N$39,3,FALSE)," ",VLOOKUP(J40,Регистрация!$B$7:$N$39,4,FALSE)))</f>
        <v>#N/A</v>
      </c>
    </row>
    <row r="41" spans="1:18" ht="12" customHeight="1">
      <c r="A41" s="80"/>
      <c r="B41" s="319" t="s">
        <v>28</v>
      </c>
      <c r="C41" s="573" t="s">
        <v>17</v>
      </c>
      <c r="D41" s="574"/>
      <c r="E41" s="574"/>
      <c r="F41" s="575"/>
      <c r="H41" s="165"/>
      <c r="I41" s="320"/>
      <c r="J41" s="167"/>
      <c r="K41" s="167"/>
      <c r="L41" s="46"/>
      <c r="M41" s="568" t="str">
        <f>IF(L41=0," ",CONCATENATE(VLOOKUP(L41,Регистрация!$B$7:$N$39,3,FALSE)," ",VLOOKUP(L41,Регистрация!$B$7:$N$39,4,FALSE)))</f>
        <v xml:space="preserve"> </v>
      </c>
      <c r="N41" s="568"/>
    </row>
    <row r="42" spans="1:18" ht="12" customHeight="1">
      <c r="A42" s="89">
        <f>H9</f>
        <v>0</v>
      </c>
      <c r="B42" s="97">
        <v>1</v>
      </c>
      <c r="C42" s="551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52"/>
      <c r="E42" s="552"/>
      <c r="F42" s="553"/>
      <c r="G42" s="111"/>
      <c r="H42" s="98">
        <f>IF(L23=0,0,IF(L23=L15,L31,L15))</f>
        <v>0</v>
      </c>
      <c r="I42" s="562" t="str">
        <f>IF(H42=0," ",CONCATENATE(VLOOKUP(H42,Регистрация!$B$7:$N$39,3,FALSE)," ",VLOOKUP(H42,Регистрация!$B$7:$N$39,4,FALSE)))</f>
        <v xml:space="preserve"> </v>
      </c>
      <c r="J42" s="563" t="e">
        <f>IF(I42=0," ",CONCATENATE(VLOOKUP(I42,Регистрация!$B$7:$N$39,3,FALSE)," ",VLOOKUP(I42,Регистрация!$B$7:$N$39,4,FALSE)))</f>
        <v>#N/A</v>
      </c>
      <c r="K42" s="564" t="e">
        <f>IF(J42=0," ",CONCATENATE(VLOOKUP(J42,Регистрация!$B$7:$N$39,3,FALSE)," ",VLOOKUP(J42,Регистрация!$B$7:$N$39,4,FALSE)))</f>
        <v>#N/A</v>
      </c>
    </row>
    <row r="43" spans="1:18" ht="12" customHeight="1">
      <c r="A43" s="89">
        <f>IF(H9=0,0,IF(H23=H9,L23,H23))</f>
        <v>0</v>
      </c>
      <c r="B43" s="97">
        <v>2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</row>
    <row r="44" spans="1:18" ht="12" customHeight="1">
      <c r="A44" s="89">
        <f>L41</f>
        <v>0</v>
      </c>
      <c r="B44" s="97">
        <v>3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2" customHeight="1">
      <c r="A45" s="89">
        <f>IF(L41=0,0,IF(L41=H40,H42,H40))</f>
        <v>0</v>
      </c>
      <c r="B45" s="97">
        <v>4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</row>
    <row r="46" spans="1:18" s="78" customFormat="1" ht="23.25" customHeight="1">
      <c r="A46" s="554" t="s">
        <v>26</v>
      </c>
      <c r="B46" s="554"/>
      <c r="C46" s="554"/>
      <c r="D46" s="178"/>
      <c r="E46" s="168"/>
      <c r="F46" s="168"/>
      <c r="G46" s="168"/>
      <c r="H46" s="321"/>
      <c r="I46" s="321"/>
      <c r="J46" s="321"/>
      <c r="K46" s="321"/>
      <c r="L46" s="321"/>
      <c r="M46" s="168"/>
      <c r="N46" s="168"/>
      <c r="O46" s="554" t="str">
        <f>Регистрация!N73</f>
        <v>Цыльев В.А. С1К</v>
      </c>
      <c r="P46" s="554"/>
      <c r="Q46" s="554"/>
      <c r="R46" s="322"/>
    </row>
    <row r="47" spans="1:18" s="78" customFormat="1" ht="13.5" customHeight="1">
      <c r="A47" s="178"/>
      <c r="B47" s="168"/>
      <c r="C47" s="168"/>
      <c r="D47" s="17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322"/>
    </row>
    <row r="48" spans="1:18" s="78" customFormat="1" ht="15.75" customHeight="1">
      <c r="A48" s="554" t="s">
        <v>27</v>
      </c>
      <c r="B48" s="554"/>
      <c r="C48" s="554"/>
      <c r="D48" s="178"/>
      <c r="E48" s="168"/>
      <c r="F48" s="168"/>
      <c r="G48" s="168"/>
      <c r="H48" s="321"/>
      <c r="I48" s="321"/>
      <c r="J48" s="321"/>
      <c r="K48" s="321"/>
      <c r="L48" s="321"/>
      <c r="M48" s="168"/>
      <c r="N48" s="168"/>
      <c r="O48" s="554" t="str">
        <f>Регистрация!N74</f>
        <v>Орлова Е.С 3 К</v>
      </c>
      <c r="P48" s="554"/>
      <c r="Q48" s="554"/>
      <c r="R48" s="322"/>
    </row>
    <row r="49" spans="1:4" s="77" customFormat="1" ht="13">
      <c r="A49" s="84"/>
      <c r="D49" s="84"/>
    </row>
    <row r="50" spans="1:4" s="77" customFormat="1" ht="13"/>
    <row r="51" spans="1:4" s="77" customFormat="1" ht="13"/>
    <row r="52" spans="1:4" s="77" customFormat="1" ht="13"/>
    <row r="53" spans="1:4" s="77" customFormat="1" ht="13"/>
    <row r="54" spans="1:4" s="77" customFormat="1" ht="13"/>
    <row r="55" spans="1:4" s="77" customFormat="1" ht="13"/>
    <row r="56" spans="1:4" s="77" customFormat="1" ht="13"/>
    <row r="57" spans="1:4" s="77" customFormat="1" ht="13"/>
    <row r="58" spans="1:4" s="77" customFormat="1" ht="13"/>
    <row r="59" spans="1:4" s="77" customFormat="1" ht="13"/>
    <row r="60" spans="1:4" s="77" customFormat="1" ht="13"/>
    <row r="61" spans="1:4" s="77" customFormat="1" ht="13"/>
    <row r="62" spans="1:4" s="77" customFormat="1" ht="13"/>
    <row r="63" spans="1:4" s="77" customFormat="1" ht="13"/>
    <row r="64" spans="1:4" s="77" customFormat="1" ht="13"/>
    <row r="65" spans="1:4" s="77" customFormat="1" ht="13"/>
    <row r="66" spans="1:4" s="77" customFormat="1" ht="13">
      <c r="A66" s="84"/>
      <c r="D66" s="84"/>
    </row>
  </sheetData>
  <mergeCells count="59">
    <mergeCell ref="C45:F45"/>
    <mergeCell ref="A46:C46"/>
    <mergeCell ref="O46:Q46"/>
    <mergeCell ref="A48:C48"/>
    <mergeCell ref="O48:Q48"/>
    <mergeCell ref="C44:F44"/>
    <mergeCell ref="B37:E37"/>
    <mergeCell ref="O37:Q37"/>
    <mergeCell ref="B38:C38"/>
    <mergeCell ref="H38:L38"/>
    <mergeCell ref="A40:E40"/>
    <mergeCell ref="I40:K40"/>
    <mergeCell ref="C41:F41"/>
    <mergeCell ref="M41:N41"/>
    <mergeCell ref="C42:F42"/>
    <mergeCell ref="I42:K42"/>
    <mergeCell ref="C43:F43"/>
    <mergeCell ref="B36:C36"/>
    <mergeCell ref="B27:C27"/>
    <mergeCell ref="B28:C28"/>
    <mergeCell ref="B29:C29"/>
    <mergeCell ref="O29:Q29"/>
    <mergeCell ref="B30:C30"/>
    <mergeCell ref="B31:C31"/>
    <mergeCell ref="B32:C32"/>
    <mergeCell ref="B33:E33"/>
    <mergeCell ref="O33:Q33"/>
    <mergeCell ref="B34:C34"/>
    <mergeCell ref="B35:C35"/>
    <mergeCell ref="B26:C26"/>
    <mergeCell ref="O17:Q17"/>
    <mergeCell ref="B18:C18"/>
    <mergeCell ref="B19:C19"/>
    <mergeCell ref="B20:C20"/>
    <mergeCell ref="B21:E21"/>
    <mergeCell ref="O21:Q21"/>
    <mergeCell ref="B17:E17"/>
    <mergeCell ref="B22:C22"/>
    <mergeCell ref="B23:C23"/>
    <mergeCell ref="B24:C24"/>
    <mergeCell ref="B25:E25"/>
    <mergeCell ref="O25:Q25"/>
    <mergeCell ref="B12:C12"/>
    <mergeCell ref="B13:C13"/>
    <mergeCell ref="B14:C14"/>
    <mergeCell ref="B15:C15"/>
    <mergeCell ref="B16:C16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F5"/>
  </mergeCells>
  <pageMargins left="0.32" right="0.16" top="0.17" bottom="0.21" header="0.11" footer="0.17"/>
  <pageSetup paperSize="9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R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1.81640625" style="8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303" bestFit="1" customWidth="1"/>
    <col min="19" max="16384" width="9.1796875" style="77"/>
  </cols>
  <sheetData>
    <row r="1" spans="1:18" ht="14.25" customHeight="1">
      <c r="A1" s="76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6" customFormat="1" ht="12.75" customHeight="1">
      <c r="A5" s="572" t="str">
        <f>Регистрация!A3</f>
        <v>Женщины 18 +  ОК-двоеборье</v>
      </c>
      <c r="B5" s="572"/>
      <c r="C5" s="572"/>
      <c r="D5" s="572"/>
      <c r="E5" s="572"/>
      <c r="F5" s="572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P6" s="121"/>
      <c r="R6" s="303"/>
    </row>
    <row r="7" spans="1:18" s="145" customFormat="1" ht="15.5">
      <c r="A7" s="8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303"/>
    </row>
    <row r="8" spans="1:18" s="133" customFormat="1" ht="11.25" customHeight="1">
      <c r="A8" s="165"/>
      <c r="B8" s="558"/>
      <c r="C8" s="558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52"/>
      <c r="D9" s="55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3"/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 t="e">
        <f>IF(I9=0," ",CONCATENATE(VLOOKUP(I9,Регистрация!$B$7:$N$39,3,FALSE)," ",VLOOKUP(I9,Регистрация!$B$7:$N$39,4,FALSE)))</f>
        <v>#N/A</v>
      </c>
      <c r="K9" s="564" t="e">
        <f>IF(J9=0," ",CONCATENATE(VLOOKUP(J9,Регистрация!$B$7:$N$39,3,FALSE)," ",VLOOKUP(J9,Регистрация!$B$7:$N$39,4,FALSE)))</f>
        <v>#N/A</v>
      </c>
      <c r="O9" s="555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6"/>
      <c r="Q9" s="557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8"/>
      <c r="C10" s="558"/>
      <c r="D10" s="165"/>
      <c r="E10" s="306"/>
      <c r="F10" s="108"/>
      <c r="G10" s="108"/>
      <c r="H10" s="45"/>
      <c r="I10" s="569" t="s">
        <v>0</v>
      </c>
      <c r="J10" s="569"/>
      <c r="K10" s="569"/>
      <c r="O10" s="307"/>
      <c r="P10" s="165"/>
      <c r="Q10" s="304"/>
      <c r="R10" s="165"/>
    </row>
    <row r="11" spans="1:18" s="133" customFormat="1" ht="11.25" customHeight="1">
      <c r="A11" s="165"/>
      <c r="B11" s="558"/>
      <c r="C11" s="558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8"/>
      <c r="C13" s="558"/>
      <c r="D13" s="46"/>
      <c r="E13" s="259"/>
      <c r="F13" s="47"/>
      <c r="G13" s="311"/>
      <c r="H13" s="45"/>
      <c r="I13" s="108"/>
      <c r="J13" s="108"/>
      <c r="K13" s="255"/>
      <c r="M13" s="312"/>
      <c r="N13" s="47"/>
      <c r="O13" s="35"/>
      <c r="P13" s="46"/>
      <c r="Q13" s="304"/>
      <c r="R13" s="165"/>
    </row>
    <row r="14" spans="1:18" s="133" customFormat="1" ht="11.25" customHeight="1">
      <c r="A14" s="98">
        <v>17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165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8"/>
      <c r="C15" s="558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58"/>
      <c r="C16" s="558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51" t="str">
        <f>IF(Регистрация!$D$6&lt;A17," ",CONCATENATE(VLOOKUP(A17,Регистрация!$B$7:$N$39,3,FALSE)," ",VLOOKUP(A17,Регистрация!$B$7:$N$39,4,FALSE)," ","(",VLOOKUP(A17,Регистрация!$B$7:$N$39,11,FALSE),")"))</f>
        <v>Носкова Александра (Политех)</v>
      </c>
      <c r="C17" s="552"/>
      <c r="D17" s="552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53"/>
      <c r="F17" s="47"/>
      <c r="G17" s="311"/>
      <c r="H17" s="47"/>
      <c r="I17" s="311"/>
      <c r="J17" s="108"/>
      <c r="K17" s="312"/>
      <c r="L17" s="47"/>
      <c r="M17" s="312"/>
      <c r="N17" s="47"/>
      <c r="O17" s="555" t="str">
        <f>IF(Регистрация!$D$6&lt;R17," ",CONCATENATE(VLOOKUP(R17,Регистрация!$B$7:$N$39,3,FALSE)," ",VLOOKUP(R17,Регистрация!$B$7:$N$39,4,FALSE)," ","(",VLOOKUP(R17,Регистрация!$B$7:$N$39,11,FALSE),")"))</f>
        <v>Павлова Мария (Политех)</v>
      </c>
      <c r="P17" s="556"/>
      <c r="Q17" s="557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58"/>
      <c r="C18" s="558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58"/>
      <c r="C19" s="558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165"/>
      <c r="B20" s="558"/>
      <c r="C20" s="558"/>
      <c r="D20" s="165"/>
      <c r="E20" s="306"/>
      <c r="F20" s="47"/>
      <c r="G20" s="316"/>
      <c r="H20" s="47"/>
      <c r="I20" s="311"/>
      <c r="J20" s="125"/>
      <c r="K20" s="312"/>
      <c r="L20" s="47"/>
      <c r="M20" s="317"/>
      <c r="N20" s="47"/>
      <c r="O20" s="307"/>
      <c r="P20" s="165"/>
      <c r="Q20" s="304"/>
      <c r="R20" s="165"/>
    </row>
    <row r="21" spans="1:18" ht="11.25" customHeight="1">
      <c r="A21" s="98">
        <v>13</v>
      </c>
      <c r="B21" s="551" t="str">
        <f>IF(Регистрация!$D$6&lt;A21," ",CONCATENATE(VLOOKUP(A21,Регистрация!$B$7:$N$39,3,FALSE)," ",VLOOKUP(A21,Регистрация!$B$7:$N$39,4,FALSE)," ","(",VLOOKUP(A21,Регистрация!$B$7:$N$39,11,FALSE),")"))</f>
        <v xml:space="preserve"> </v>
      </c>
      <c r="C21" s="552"/>
      <c r="D21" s="552" t="e">
        <f>IF(Регистрация!$D$6&lt;C21," ",CONCATENATE(VLOOKUP(C21,Регистрация!$B$7:$N$39,3,FALSE)," ",VLOOKUP(C21,Регистрация!$B$7:$N$39,4,FALSE)," ","(",VLOOKUP(C21,Регистрация!$B$7:$N$39,11,FALSE),")"))</f>
        <v>#N/A</v>
      </c>
      <c r="E21" s="553"/>
      <c r="F21" s="47"/>
      <c r="G21" s="316"/>
      <c r="H21" s="47"/>
      <c r="I21" s="311"/>
      <c r="K21" s="312"/>
      <c r="L21" s="47"/>
      <c r="M21" s="317"/>
      <c r="N21" s="47"/>
      <c r="O21" s="555" t="str">
        <f>IF(Регистрация!$D$6&lt;R21," ",CONCATENATE(VLOOKUP(R21,Регистрация!$B$7:$N$39,3,FALSE)," ",VLOOKUP(R21,Регистрация!$B$7:$N$39,4,FALSE)," ","(",VLOOKUP(R21,Регистрация!$B$7:$N$39,11,FALSE),")"))</f>
        <v xml:space="preserve"> </v>
      </c>
      <c r="P21" s="556"/>
      <c r="Q21" s="557" t="e">
        <f>IF(Регистрация!$D$6&lt;P21," ",CONCATENATE(VLOOKUP(P21,Регистрация!$B$7:$N$39,3,FALSE)," ",VLOOKUP(P21,Регистрация!$B$7:$N$39,4,FALSE)," ","(",VLOOKUP(P21,Регистрация!$B$7:$N$39,11,FALSE),")"))</f>
        <v>#N/A</v>
      </c>
      <c r="R21" s="98">
        <v>14</v>
      </c>
    </row>
    <row r="22" spans="1:18" ht="11.25" customHeight="1">
      <c r="A22" s="165"/>
      <c r="B22" s="558"/>
      <c r="C22" s="558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04"/>
      <c r="R22" s="165"/>
    </row>
    <row r="23" spans="1:18" ht="11.25" customHeight="1">
      <c r="A23" s="165"/>
      <c r="B23" s="558"/>
      <c r="C23" s="558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58"/>
      <c r="C24" s="558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51" t="str">
        <f>IF(Регистрация!$D$6&lt;A25," ",CONCATENATE(VLOOKUP(A25,Регистрация!$B$7:$N$39,3,FALSE)," ",VLOOKUP(A25,Регистрация!$B$7:$N$39,4,FALSE)," ","(",VLOOKUP(A25,Регистрация!$B$7:$N$39,11,FALSE),")"))</f>
        <v>Паранина Полина (Политех)</v>
      </c>
      <c r="C25" s="552"/>
      <c r="D25" s="552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53"/>
      <c r="F25" s="47"/>
      <c r="G25" s="316"/>
      <c r="H25" s="47"/>
      <c r="I25" s="311"/>
      <c r="K25" s="312"/>
      <c r="L25" s="47"/>
      <c r="M25" s="317"/>
      <c r="N25" s="47"/>
      <c r="O25" s="555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6"/>
      <c r="Q25" s="557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58"/>
      <c r="C26" s="558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8"/>
      <c r="C27" s="558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70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0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8"/>
      <c r="C29" s="558"/>
      <c r="D29" s="46"/>
      <c r="E29" s="259"/>
      <c r="F29" s="47"/>
      <c r="G29" s="311"/>
      <c r="H29" s="47"/>
      <c r="I29" s="311"/>
      <c r="K29" s="312"/>
      <c r="L29" s="47"/>
      <c r="M29" s="312"/>
      <c r="N29" s="47"/>
      <c r="O29" s="35"/>
      <c r="P29" s="46"/>
      <c r="Q29" s="304"/>
      <c r="R29" s="165"/>
    </row>
    <row r="30" spans="1:18" ht="11.25" customHeight="1">
      <c r="A30" s="98">
        <v>19</v>
      </c>
      <c r="B30" s="57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0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58"/>
      <c r="C31" s="558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8"/>
      <c r="C32" s="558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1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2"/>
      <c r="D33" s="552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3"/>
      <c r="F33" s="47"/>
      <c r="G33" s="311"/>
      <c r="H33" s="144"/>
      <c r="I33" s="144"/>
      <c r="M33" s="312"/>
      <c r="N33" s="47"/>
      <c r="O33" s="555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6"/>
      <c r="Q33" s="557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77"/>
      <c r="C34" s="577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8"/>
      <c r="C35" s="558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165"/>
      <c r="B36" s="558"/>
      <c r="C36" s="558"/>
      <c r="D36" s="165"/>
      <c r="E36" s="306"/>
      <c r="F36" s="144"/>
      <c r="G36" s="144"/>
      <c r="H36" s="144"/>
      <c r="I36" s="144"/>
      <c r="O36" s="307"/>
      <c r="P36" s="165"/>
      <c r="Q36" s="304"/>
      <c r="R36" s="165"/>
    </row>
    <row r="37" spans="1:18" ht="11.25" customHeight="1">
      <c r="A37" s="98">
        <v>15</v>
      </c>
      <c r="B37" s="551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52"/>
      <c r="D37" s="552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53"/>
      <c r="F37" s="144"/>
      <c r="G37" s="144"/>
      <c r="H37" s="265"/>
      <c r="I37" s="318"/>
      <c r="J37" s="108"/>
      <c r="O37" s="555" t="str">
        <f>IF(Регистрация!$D$6&lt;R37," ",CONCATENATE(VLOOKUP(R37,Регистрация!$B$7:$N$39,3,FALSE)," ",VLOOKUP(R37,Регистрация!$B$7:$N$39,4,FALSE)," ","(",VLOOKUP(R37,Регистрация!$B$7:$N$39,11,FALSE),")"))</f>
        <v xml:space="preserve"> </v>
      </c>
      <c r="P37" s="556"/>
      <c r="Q37" s="557" t="e">
        <f>IF(Регистрация!$D$6&lt;P37," ",CONCATENATE(VLOOKUP(P37,Регистрация!$B$7:$N$39,3,FALSE)," ",VLOOKUP(P37,Регистрация!$B$7:$N$39,4,FALSE)," ","(",VLOOKUP(P37,Регистрация!$B$7:$N$39,11,FALSE),")"))</f>
        <v>#N/A</v>
      </c>
      <c r="R37" s="98">
        <v>16</v>
      </c>
    </row>
    <row r="38" spans="1:18" ht="11.25" customHeight="1">
      <c r="A38" s="165"/>
      <c r="B38" s="558"/>
      <c r="C38" s="558"/>
      <c r="D38" s="142"/>
      <c r="E38" s="110"/>
      <c r="F38" s="254"/>
      <c r="G38" s="254"/>
      <c r="H38" s="559" t="s">
        <v>25</v>
      </c>
      <c r="I38" s="559"/>
      <c r="J38" s="559"/>
      <c r="K38" s="559"/>
      <c r="L38" s="559"/>
      <c r="Q38" s="304"/>
      <c r="R38" s="165"/>
    </row>
    <row r="39" spans="1:18" ht="12" customHeight="1">
      <c r="D39" s="178"/>
      <c r="E39" s="128"/>
      <c r="H39" s="265"/>
      <c r="J39" s="108"/>
    </row>
    <row r="40" spans="1:18" ht="12" customHeight="1">
      <c r="A40" s="560" t="s">
        <v>16</v>
      </c>
      <c r="B40" s="560"/>
      <c r="C40" s="561"/>
      <c r="D40" s="561"/>
      <c r="E40" s="561"/>
      <c r="H40" s="98">
        <f>IF(H23=0,0,IF(H23=H15,H31,H15))</f>
        <v>0</v>
      </c>
      <c r="I40" s="562" t="str">
        <f>IF(H40=0," ",CONCATENATE(VLOOKUP(H40,Регистрация!$B$7:$N$39,3,FALSE)," ",VLOOKUP(H40,Регистрация!$B$7:$N$39,4,FALSE)))</f>
        <v xml:space="preserve"> </v>
      </c>
      <c r="J40" s="563" t="e">
        <f>IF(I40=0," ",CONCATENATE(VLOOKUP(I40,Регистрация!$B$7:$N$39,3,FALSE)," ",VLOOKUP(I40,Регистрация!$B$7:$N$39,4,FALSE)))</f>
        <v>#N/A</v>
      </c>
      <c r="K40" s="564" t="e">
        <f>IF(J40=0," ",CONCATENATE(VLOOKUP(J40,Регистрация!$B$7:$N$39,3,FALSE)," ",VLOOKUP(J40,Регистрация!$B$7:$N$39,4,FALSE)))</f>
        <v>#N/A</v>
      </c>
    </row>
    <row r="41" spans="1:18" ht="12" customHeight="1">
      <c r="A41" s="80"/>
      <c r="B41" s="319" t="s">
        <v>28</v>
      </c>
      <c r="C41" s="573" t="s">
        <v>17</v>
      </c>
      <c r="D41" s="574"/>
      <c r="E41" s="574"/>
      <c r="F41" s="575"/>
      <c r="H41" s="165"/>
      <c r="I41" s="320"/>
      <c r="J41" s="167"/>
      <c r="K41" s="167"/>
      <c r="L41" s="46"/>
      <c r="M41" s="568" t="str">
        <f>IF(L41=0," ",CONCATENATE(VLOOKUP(L41,Регистрация!$B$7:$N$39,3,FALSE)," ",VLOOKUP(L41,Регистрация!$B$7:$N$39,4,FALSE)))</f>
        <v xml:space="preserve"> </v>
      </c>
      <c r="N41" s="568"/>
    </row>
    <row r="42" spans="1:18" ht="12" customHeight="1">
      <c r="A42" s="89">
        <f>H9</f>
        <v>0</v>
      </c>
      <c r="B42" s="97">
        <v>1</v>
      </c>
      <c r="C42" s="551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52"/>
      <c r="E42" s="552"/>
      <c r="F42" s="553"/>
      <c r="G42" s="111"/>
      <c r="H42" s="98">
        <f>IF(L23=0,0,IF(L23=L15,L31,L15))</f>
        <v>0</v>
      </c>
      <c r="I42" s="562" t="str">
        <f>IF(H42=0," ",CONCATENATE(VLOOKUP(H42,Регистрация!$B$7:$N$39,3,FALSE)," ",VLOOKUP(H42,Регистрация!$B$7:$N$39,4,FALSE)))</f>
        <v xml:space="preserve"> </v>
      </c>
      <c r="J42" s="563" t="e">
        <f>IF(I42=0," ",CONCATENATE(VLOOKUP(I42,Регистрация!$B$7:$N$39,3,FALSE)," ",VLOOKUP(I42,Регистрация!$B$7:$N$39,4,FALSE)))</f>
        <v>#N/A</v>
      </c>
      <c r="K42" s="564" t="e">
        <f>IF(J42=0," ",CONCATENATE(VLOOKUP(J42,Регистрация!$B$7:$N$39,3,FALSE)," ",VLOOKUP(J42,Регистрация!$B$7:$N$39,4,FALSE)))</f>
        <v>#N/A</v>
      </c>
    </row>
    <row r="43" spans="1:18" ht="12" customHeight="1">
      <c r="A43" s="89">
        <f>IF(H9=0,0,IF(H9=H23,L23,H23))</f>
        <v>0</v>
      </c>
      <c r="B43" s="97">
        <v>2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</row>
    <row r="44" spans="1:18" ht="12" customHeight="1">
      <c r="A44" s="89">
        <f>L41</f>
        <v>0</v>
      </c>
      <c r="B44" s="97">
        <v>3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2" customHeight="1">
      <c r="A45" s="89">
        <f>IF(L41=0,0,IF(L41=H40,H42,H40))</f>
        <v>0</v>
      </c>
      <c r="B45" s="97">
        <v>4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</row>
    <row r="46" spans="1:18" s="78" customFormat="1" ht="23.25" customHeight="1">
      <c r="A46" s="554" t="s">
        <v>26</v>
      </c>
      <c r="B46" s="554"/>
      <c r="C46" s="554"/>
      <c r="D46" s="178"/>
      <c r="E46" s="168"/>
      <c r="F46" s="168"/>
      <c r="G46" s="168"/>
      <c r="H46" s="321"/>
      <c r="I46" s="321"/>
      <c r="J46" s="321"/>
      <c r="K46" s="321"/>
      <c r="L46" s="321"/>
      <c r="M46" s="168"/>
      <c r="N46" s="168"/>
      <c r="O46" s="554" t="str">
        <f>Регистрация!N73</f>
        <v>Цыльев В.А. С1К</v>
      </c>
      <c r="P46" s="554"/>
      <c r="Q46" s="554"/>
      <c r="R46" s="322"/>
    </row>
    <row r="47" spans="1:18" s="78" customFormat="1" ht="13.5" customHeight="1">
      <c r="A47" s="178"/>
      <c r="B47" s="168"/>
      <c r="C47" s="168"/>
      <c r="D47" s="17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322"/>
    </row>
    <row r="48" spans="1:18" s="78" customFormat="1" ht="15.75" customHeight="1">
      <c r="A48" s="554" t="s">
        <v>27</v>
      </c>
      <c r="B48" s="554"/>
      <c r="C48" s="554"/>
      <c r="D48" s="178"/>
      <c r="E48" s="168"/>
      <c r="F48" s="168"/>
      <c r="G48" s="168"/>
      <c r="H48" s="321"/>
      <c r="I48" s="321"/>
      <c r="J48" s="321"/>
      <c r="K48" s="321"/>
      <c r="L48" s="321"/>
      <c r="M48" s="168"/>
      <c r="N48" s="168"/>
      <c r="O48" s="554" t="str">
        <f>Регистрация!N74</f>
        <v>Орлова Е.С 3 К</v>
      </c>
      <c r="P48" s="554"/>
      <c r="Q48" s="554"/>
      <c r="R48" s="322"/>
    </row>
    <row r="49" spans="1:4" s="77" customFormat="1" ht="11.15" customHeight="1">
      <c r="A49" s="84"/>
      <c r="D49" s="84"/>
    </row>
    <row r="50" spans="1:4" s="77" customFormat="1" ht="11.15" customHeight="1"/>
    <row r="51" spans="1:4" s="77" customFormat="1" ht="11.15" customHeight="1"/>
    <row r="52" spans="1:4" s="77" customFormat="1" ht="11.15" customHeight="1"/>
    <row r="53" spans="1:4" s="77" customFormat="1" ht="11.15" customHeight="1"/>
    <row r="54" spans="1:4" s="77" customFormat="1" ht="11.15" customHeight="1"/>
    <row r="55" spans="1:4" s="77" customFormat="1" ht="11.15" customHeight="1"/>
    <row r="56" spans="1:4" s="77" customFormat="1" ht="11.15" customHeight="1"/>
    <row r="57" spans="1:4" s="77" customFormat="1" ht="11.15" customHeight="1"/>
    <row r="58" spans="1:4" s="77" customFormat="1" ht="11.15" customHeight="1"/>
    <row r="59" spans="1:4" s="77" customFormat="1" ht="11.15" customHeight="1"/>
    <row r="60" spans="1:4" s="77" customFormat="1" ht="11.15" customHeight="1"/>
    <row r="61" spans="1:4" s="77" customFormat="1" ht="11.15" customHeight="1"/>
    <row r="62" spans="1:4" s="77" customFormat="1" ht="11.15" customHeight="1"/>
    <row r="63" spans="1:4" s="77" customFormat="1" ht="11.15" customHeight="1"/>
    <row r="64" spans="1:4" s="77" customFormat="1" ht="11.15" customHeight="1"/>
    <row r="65" spans="1:4" s="77" customFormat="1" ht="11.15" customHeight="1"/>
    <row r="66" spans="1:4" s="77" customFormat="1" ht="11.15" customHeight="1">
      <c r="A66" s="84"/>
      <c r="D66" s="84"/>
    </row>
  </sheetData>
  <mergeCells count="58">
    <mergeCell ref="O46:Q46"/>
    <mergeCell ref="A48:C48"/>
    <mergeCell ref="O48:Q48"/>
    <mergeCell ref="C42:F42"/>
    <mergeCell ref="I42:K42"/>
    <mergeCell ref="C43:F43"/>
    <mergeCell ref="C44:F44"/>
    <mergeCell ref="C45:F45"/>
    <mergeCell ref="A46:C46"/>
    <mergeCell ref="M41:N41"/>
    <mergeCell ref="B33:E33"/>
    <mergeCell ref="O33:Q33"/>
    <mergeCell ref="B34:C34"/>
    <mergeCell ref="B35:C35"/>
    <mergeCell ref="B36:C36"/>
    <mergeCell ref="B37:E37"/>
    <mergeCell ref="O37:Q37"/>
    <mergeCell ref="B38:C38"/>
    <mergeCell ref="H38:L38"/>
    <mergeCell ref="A40:E40"/>
    <mergeCell ref="I40:K40"/>
    <mergeCell ref="C41:F41"/>
    <mergeCell ref="B32:C32"/>
    <mergeCell ref="B22:C22"/>
    <mergeCell ref="B23:C23"/>
    <mergeCell ref="B24:C24"/>
    <mergeCell ref="B25:E25"/>
    <mergeCell ref="B27:C27"/>
    <mergeCell ref="B28:C28"/>
    <mergeCell ref="B29:C29"/>
    <mergeCell ref="B30:C30"/>
    <mergeCell ref="B31:C31"/>
    <mergeCell ref="O25:Q25"/>
    <mergeCell ref="B26:C26"/>
    <mergeCell ref="O17:Q17"/>
    <mergeCell ref="B18:C18"/>
    <mergeCell ref="B19:C19"/>
    <mergeCell ref="B20:C20"/>
    <mergeCell ref="B21:E21"/>
    <mergeCell ref="O21:Q21"/>
    <mergeCell ref="B17:E17"/>
    <mergeCell ref="B12:C12"/>
    <mergeCell ref="B13:C13"/>
    <mergeCell ref="B14:C14"/>
    <mergeCell ref="B15:C15"/>
    <mergeCell ref="B16:C16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F5"/>
  </mergeCells>
  <pageMargins left="0.28999999999999998" right="0.16" top="0.17" bottom="0.21" header="0.11" footer="0.15"/>
  <pageSetup paperSize="9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1.81640625" style="8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303" bestFit="1" customWidth="1"/>
    <col min="19" max="16384" width="9.1796875" style="77"/>
  </cols>
  <sheetData>
    <row r="1" spans="1:18" ht="14.25" customHeight="1">
      <c r="A1" s="76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5" customFormat="1" ht="12.75" customHeight="1">
      <c r="A5" s="572" t="str">
        <f>Регистрация!A3</f>
        <v>Женщины 18 +  ОК-двоеборье</v>
      </c>
      <c r="B5" s="572"/>
      <c r="C5" s="572"/>
      <c r="D5" s="572"/>
      <c r="E5" s="572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24" t="str">
        <f>Регистрация!L3</f>
        <v>27 сентября 2025</v>
      </c>
      <c r="P5" s="258" t="s">
        <v>45</v>
      </c>
      <c r="Q5" s="325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5">
      <c r="A7" s="8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303"/>
    </row>
    <row r="8" spans="1:18" s="133" customFormat="1" ht="11.25" customHeight="1">
      <c r="A8" s="165"/>
      <c r="B8" s="558"/>
      <c r="C8" s="558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52"/>
      <c r="D9" s="55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3"/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 t="e">
        <f>IF(I9=0," ",CONCATENATE(VLOOKUP(I9,Регистрация!$B$7:$N$39,3,FALSE)," ",VLOOKUP(I9,Регистрация!$B$7:$N$39,4,FALSE)))</f>
        <v>#N/A</v>
      </c>
      <c r="K9" s="564" t="e">
        <f>IF(J9=0," ",CONCATENATE(VLOOKUP(J9,Регистрация!$B$7:$N$39,3,FALSE)," ",VLOOKUP(J9,Регистрация!$B$7:$N$39,4,FALSE)))</f>
        <v>#N/A</v>
      </c>
      <c r="O9" s="555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6"/>
      <c r="Q9" s="557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8"/>
      <c r="C10" s="558"/>
      <c r="D10" s="165"/>
      <c r="E10" s="306"/>
      <c r="F10" s="108"/>
      <c r="G10" s="108"/>
      <c r="H10" s="45"/>
      <c r="I10" s="569" t="s">
        <v>0</v>
      </c>
      <c r="J10" s="569"/>
      <c r="K10" s="569"/>
      <c r="O10" s="307"/>
      <c r="P10" s="165"/>
      <c r="Q10" s="304"/>
      <c r="R10" s="165"/>
    </row>
    <row r="11" spans="1:18" s="133" customFormat="1" ht="11.25" customHeight="1">
      <c r="A11" s="165"/>
      <c r="B11" s="558"/>
      <c r="C11" s="558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8"/>
      <c r="C13" s="558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35"/>
      <c r="P13" s="46"/>
      <c r="Q13" s="304"/>
      <c r="R13" s="165"/>
    </row>
    <row r="14" spans="1:18" s="133" customFormat="1" ht="11.25" customHeight="1">
      <c r="A14" s="98">
        <v>17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165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8"/>
      <c r="C15" s="558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58"/>
      <c r="C16" s="558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51" t="str">
        <f>IF(Регистрация!$D$6&lt;A17," ",CONCATENATE(VLOOKUP(A17,Регистрация!$B$7:$N$39,3,FALSE)," ",VLOOKUP(A17,Регистрация!$B$7:$N$39,4,FALSE)," ","(",VLOOKUP(A17,Регистрация!$B$7:$N$39,11,FALSE),")"))</f>
        <v>Носкова Александра (Политех)</v>
      </c>
      <c r="C17" s="552"/>
      <c r="D17" s="552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53"/>
      <c r="F17" s="47"/>
      <c r="G17" s="311"/>
      <c r="H17" s="47"/>
      <c r="I17" s="311"/>
      <c r="J17" s="108"/>
      <c r="K17" s="312"/>
      <c r="L17" s="47"/>
      <c r="M17" s="312"/>
      <c r="N17" s="47"/>
      <c r="O17" s="555" t="str">
        <f>IF(Регистрация!$D$6&lt;R17," ",CONCATENATE(VLOOKUP(R17,Регистрация!$B$7:$N$39,3,FALSE)," ",VLOOKUP(R17,Регистрация!$B$7:$N$39,4,FALSE)," ","(",VLOOKUP(R17,Регистрация!$B$7:$N$39,11,FALSE),")"))</f>
        <v>Павлова Мария (Политех)</v>
      </c>
      <c r="P17" s="556"/>
      <c r="Q17" s="557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58"/>
      <c r="C18" s="558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58"/>
      <c r="C19" s="558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98">
        <v>13</v>
      </c>
      <c r="B20" s="570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0"/>
      <c r="D20" s="165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07"/>
      <c r="P20" s="165"/>
      <c r="Q20" s="304"/>
      <c r="R20" s="165"/>
    </row>
    <row r="21" spans="1:18" ht="11.25" customHeight="1">
      <c r="A21" s="165"/>
      <c r="B21" s="558"/>
      <c r="C21" s="558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555" t="str">
        <f>IF(Регистрация!$D$6&lt;R21," ",CONCATENATE(VLOOKUP(R21,Регистрация!$B$7:$N$39,3,FALSE)," ",VLOOKUP(R21,Регистрация!$B$7:$N$39,4,FALSE)," ","(",VLOOKUP(R21,Регистрация!$B$7:$N$39,11,FALSE),")"))</f>
        <v xml:space="preserve"> </v>
      </c>
      <c r="P21" s="556"/>
      <c r="Q21" s="557" t="e">
        <f>IF(Регистрация!$D$6&lt;P21," ",CONCATENATE(VLOOKUP(P21,Регистрация!$B$7:$N$39,3,FALSE)," ",VLOOKUP(P21,Регистрация!$B$7:$N$39,4,FALSE)," ","(",VLOOKUP(P21,Регистрация!$B$7:$N$39,11,FALSE),")"))</f>
        <v>#N/A</v>
      </c>
      <c r="R21" s="98">
        <v>14</v>
      </c>
    </row>
    <row r="22" spans="1:18" ht="11.25" customHeight="1">
      <c r="A22" s="98">
        <v>21</v>
      </c>
      <c r="B22" s="570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0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04"/>
      <c r="R22" s="165"/>
    </row>
    <row r="23" spans="1:18" ht="11.25" customHeight="1">
      <c r="A23" s="165"/>
      <c r="B23" s="558"/>
      <c r="C23" s="558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58"/>
      <c r="C24" s="558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51" t="str">
        <f>IF(Регистрация!$D$6&lt;A25," ",CONCATENATE(VLOOKUP(A25,Регистрация!$B$7:$N$39,3,FALSE)," ",VLOOKUP(A25,Регистрация!$B$7:$N$39,4,FALSE)," ","(",VLOOKUP(A25,Регистрация!$B$7:$N$39,11,FALSE),")"))</f>
        <v>Паранина Полина (Политех)</v>
      </c>
      <c r="C25" s="552"/>
      <c r="D25" s="552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53"/>
      <c r="F25" s="47"/>
      <c r="G25" s="316"/>
      <c r="H25" s="47"/>
      <c r="I25" s="311"/>
      <c r="K25" s="312"/>
      <c r="L25" s="47"/>
      <c r="M25" s="317"/>
      <c r="N25" s="47"/>
      <c r="O25" s="555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6"/>
      <c r="Q25" s="557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58"/>
      <c r="C26" s="558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8"/>
      <c r="C27" s="558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7</v>
      </c>
      <c r="B28" s="570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0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8</v>
      </c>
    </row>
    <row r="29" spans="1:18" ht="11.25" customHeight="1">
      <c r="A29" s="165"/>
      <c r="B29" s="558"/>
      <c r="C29" s="558"/>
      <c r="D29" s="98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IF(P29=0," ",CONCATENATE(VLOOKUP(P29,Регистрация!$B$7:$N$39,3,FALSE)," ",VLOOKUP(P29,Регистрация!$B$7:$N$39,4,FALSE)))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19</v>
      </c>
      <c r="B30" s="57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0"/>
      <c r="D30" s="47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58"/>
      <c r="C31" s="558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8"/>
      <c r="C32" s="558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11</v>
      </c>
      <c r="B33" s="551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2"/>
      <c r="D33" s="552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3"/>
      <c r="F33" s="47"/>
      <c r="G33" s="311"/>
      <c r="H33" s="144"/>
      <c r="I33" s="144"/>
      <c r="M33" s="312"/>
      <c r="N33" s="47"/>
      <c r="O33" s="555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6"/>
      <c r="Q33" s="557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12</v>
      </c>
    </row>
    <row r="34" spans="1:18" ht="11.25" customHeight="1">
      <c r="A34" s="165"/>
      <c r="B34" s="558"/>
      <c r="C34" s="558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8"/>
      <c r="C35" s="558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165"/>
      <c r="B36" s="558"/>
      <c r="C36" s="558"/>
      <c r="D36" s="165"/>
      <c r="E36" s="306"/>
      <c r="F36" s="144"/>
      <c r="G36" s="144"/>
      <c r="H36" s="144"/>
      <c r="I36" s="144"/>
      <c r="O36" s="307"/>
      <c r="P36" s="165"/>
      <c r="Q36" s="304"/>
      <c r="R36" s="165"/>
    </row>
    <row r="37" spans="1:18" ht="11.25" customHeight="1">
      <c r="A37" s="98">
        <v>15</v>
      </c>
      <c r="B37" s="551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52"/>
      <c r="D37" s="552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53"/>
      <c r="F37" s="144"/>
      <c r="G37" s="144"/>
      <c r="H37" s="265"/>
      <c r="I37" s="318"/>
      <c r="J37" s="108"/>
      <c r="O37" s="555" t="str">
        <f>IF(Регистрация!$D$6&lt;R37," ",CONCATENATE(VLOOKUP(R37,Регистрация!$B$7:$N$39,3,FALSE)," ",VLOOKUP(R37,Регистрация!$B$7:$N$39,4,FALSE)," ","(",VLOOKUP(R37,Регистрация!$B$7:$N$39,11,FALSE),")"))</f>
        <v xml:space="preserve"> </v>
      </c>
      <c r="P37" s="556"/>
      <c r="Q37" s="557" t="e">
        <f>IF(Регистрация!$D$6&lt;P37," ",CONCATENATE(VLOOKUP(P37,Регистрация!$B$7:$N$39,3,FALSE)," ",VLOOKUP(P37,Регистрация!$B$7:$N$39,4,FALSE)," ","(",VLOOKUP(P37,Регистрация!$B$7:$N$39,11,FALSE),")"))</f>
        <v>#N/A</v>
      </c>
      <c r="R37" s="98">
        <v>16</v>
      </c>
    </row>
    <row r="38" spans="1:18" ht="11.25" customHeight="1">
      <c r="A38" s="165"/>
      <c r="B38" s="558"/>
      <c r="C38" s="558"/>
      <c r="D38" s="142"/>
      <c r="E38" s="110"/>
      <c r="F38" s="254"/>
      <c r="G38" s="254"/>
      <c r="H38" s="559" t="s">
        <v>25</v>
      </c>
      <c r="I38" s="559"/>
      <c r="J38" s="559"/>
      <c r="K38" s="559"/>
      <c r="L38" s="559"/>
      <c r="Q38" s="304"/>
      <c r="R38" s="165"/>
    </row>
    <row r="39" spans="1:18" ht="12" customHeight="1">
      <c r="D39" s="178"/>
      <c r="E39" s="128"/>
      <c r="H39" s="265"/>
      <c r="J39" s="108"/>
    </row>
    <row r="40" spans="1:18" ht="12" customHeight="1">
      <c r="A40" s="560" t="s">
        <v>16</v>
      </c>
      <c r="B40" s="560"/>
      <c r="C40" s="561"/>
      <c r="D40" s="561"/>
      <c r="E40" s="561"/>
      <c r="H40" s="98">
        <f>IF(H23=0,0,IF(H23=H15+H31,H15))</f>
        <v>0</v>
      </c>
      <c r="I40" s="562" t="str">
        <f>IF(H40=0," ",CONCATENATE(VLOOKUP(H40,Регистрация!$B$7:$N$39,3,FALSE)," ",VLOOKUP(H40,Регистрация!$B$7:$N$39,4,FALSE)))</f>
        <v xml:space="preserve"> </v>
      </c>
      <c r="J40" s="563" t="e">
        <f>IF(I40=0," ",CONCATENATE(VLOOKUP(I40,Регистрация!$B$7:$N$39,3,FALSE)," ",VLOOKUP(I40,Регистрация!$B$7:$N$39,4,FALSE)))</f>
        <v>#N/A</v>
      </c>
      <c r="K40" s="564" t="e">
        <f>IF(J40=0," ",CONCATENATE(VLOOKUP(J40,Регистрация!$B$7:$N$39,3,FALSE)," ",VLOOKUP(J40,Регистрация!$B$7:$N$39,4,FALSE)))</f>
        <v>#N/A</v>
      </c>
    </row>
    <row r="41" spans="1:18" ht="12" customHeight="1">
      <c r="A41" s="80"/>
      <c r="B41" s="319" t="s">
        <v>28</v>
      </c>
      <c r="C41" s="573" t="s">
        <v>17</v>
      </c>
      <c r="D41" s="574"/>
      <c r="E41" s="574"/>
      <c r="F41" s="575"/>
      <c r="H41" s="165"/>
      <c r="I41" s="320"/>
      <c r="J41" s="167"/>
      <c r="K41" s="167"/>
      <c r="L41" s="46"/>
      <c r="M41" s="568" t="str">
        <f>IF(L41=0," ",CONCATENATE(VLOOKUP(L41,Регистрация!$B$7:$N$39,3,FALSE)," ",VLOOKUP(L41,Регистрация!$B$7:$N$39,4,FALSE)))</f>
        <v xml:space="preserve"> </v>
      </c>
      <c r="N41" s="568"/>
    </row>
    <row r="42" spans="1:18" ht="12" customHeight="1">
      <c r="A42" s="89">
        <f>H9</f>
        <v>0</v>
      </c>
      <c r="B42" s="97">
        <v>1</v>
      </c>
      <c r="C42" s="551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52"/>
      <c r="E42" s="552"/>
      <c r="F42" s="553"/>
      <c r="G42" s="111"/>
      <c r="H42" s="98">
        <f>IF(L23=0,0,IF(L23=L15,L31,L15))</f>
        <v>0</v>
      </c>
      <c r="I42" s="562" t="str">
        <f>IF(H42=0," ",CONCATENATE(VLOOKUP(H42,Регистрация!$B$7:$N$39,3,FALSE)," ",VLOOKUP(H42,Регистрация!$B$7:$N$39,4,FALSE)))</f>
        <v xml:space="preserve"> </v>
      </c>
      <c r="J42" s="563" t="e">
        <f>IF(I42=0," ",CONCATENATE(VLOOKUP(I42,Регистрация!$B$7:$N$39,3,FALSE)," ",VLOOKUP(I42,Регистрация!$B$7:$N$39,4,FALSE)))</f>
        <v>#N/A</v>
      </c>
      <c r="K42" s="564" t="e">
        <f>IF(J42=0," ",CONCATENATE(VLOOKUP(J42,Регистрация!$B$7:$N$39,3,FALSE)," ",VLOOKUP(J42,Регистрация!$B$7:$N$39,4,FALSE)))</f>
        <v>#N/A</v>
      </c>
    </row>
    <row r="43" spans="1:18" ht="12" customHeight="1">
      <c r="A43" s="89">
        <f>IF(H9=0,0,IF(H9=H23,L23,H23))</f>
        <v>0</v>
      </c>
      <c r="B43" s="97">
        <v>2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</row>
    <row r="44" spans="1:18" ht="12" customHeight="1">
      <c r="A44" s="89">
        <f>L41</f>
        <v>0</v>
      </c>
      <c r="B44" s="97">
        <v>3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2" customHeight="1">
      <c r="A45" s="89">
        <f>IF(L41=0,0,IF(L41=H40,H42,H40))</f>
        <v>0</v>
      </c>
      <c r="B45" s="97">
        <v>4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</row>
    <row r="46" spans="1:18" s="78" customFormat="1" ht="23.25" customHeight="1">
      <c r="A46" s="554" t="s">
        <v>26</v>
      </c>
      <c r="B46" s="554"/>
      <c r="C46" s="554"/>
      <c r="D46" s="178"/>
      <c r="E46" s="168"/>
      <c r="F46" s="168"/>
      <c r="G46" s="168"/>
      <c r="H46" s="321"/>
      <c r="I46" s="321"/>
      <c r="J46" s="321"/>
      <c r="K46" s="321"/>
      <c r="L46" s="321"/>
      <c r="M46" s="168"/>
      <c r="N46" s="168"/>
      <c r="O46" s="554" t="str">
        <f>Регистрация!N73</f>
        <v>Цыльев В.А. С1К</v>
      </c>
      <c r="P46" s="554"/>
      <c r="Q46" s="554"/>
      <c r="R46" s="322"/>
    </row>
    <row r="47" spans="1:18" s="78" customFormat="1" ht="13.5" customHeight="1">
      <c r="A47" s="178"/>
      <c r="B47" s="168"/>
      <c r="C47" s="168"/>
      <c r="D47" s="17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322"/>
    </row>
    <row r="48" spans="1:18" s="78" customFormat="1" ht="15.75" customHeight="1">
      <c r="A48" s="554" t="s">
        <v>27</v>
      </c>
      <c r="B48" s="554"/>
      <c r="C48" s="554"/>
      <c r="D48" s="178"/>
      <c r="E48" s="168"/>
      <c r="F48" s="168"/>
      <c r="G48" s="168"/>
      <c r="H48" s="321"/>
      <c r="I48" s="321"/>
      <c r="J48" s="321"/>
      <c r="K48" s="321"/>
      <c r="L48" s="321"/>
      <c r="M48" s="168"/>
      <c r="N48" s="168"/>
      <c r="O48" s="554" t="str">
        <f>Регистрация!N74</f>
        <v>Орлова Е.С 3 К</v>
      </c>
      <c r="P48" s="554"/>
      <c r="Q48" s="554"/>
      <c r="R48" s="322"/>
    </row>
    <row r="49" spans="1:4" s="77" customFormat="1" ht="13">
      <c r="A49" s="84"/>
      <c r="D49" s="84"/>
    </row>
    <row r="50" spans="1:4" s="77" customFormat="1" ht="13"/>
    <row r="51" spans="1:4" s="77" customFormat="1" ht="13"/>
    <row r="52" spans="1:4" s="77" customFormat="1" ht="13"/>
    <row r="53" spans="1:4" s="77" customFormat="1" ht="13"/>
    <row r="54" spans="1:4" s="77" customFormat="1" ht="13"/>
    <row r="55" spans="1:4" s="77" customFormat="1" ht="13"/>
    <row r="56" spans="1:4" s="77" customFormat="1" ht="13"/>
    <row r="57" spans="1:4" s="77" customFormat="1" ht="13"/>
    <row r="58" spans="1:4" s="77" customFormat="1" ht="13"/>
    <row r="59" spans="1:4" s="77" customFormat="1" ht="13"/>
    <row r="60" spans="1:4" s="77" customFormat="1" ht="13"/>
    <row r="61" spans="1:4" s="77" customFormat="1" ht="13"/>
    <row r="62" spans="1:4" s="77" customFormat="1" ht="13"/>
    <row r="63" spans="1:4" s="77" customFormat="1" ht="13"/>
    <row r="64" spans="1:4" s="77" customFormat="1" ht="13"/>
    <row r="65" spans="1:4" s="77" customFormat="1" ht="13"/>
    <row r="66" spans="1:4" s="77" customFormat="1" ht="13">
      <c r="A66" s="84"/>
      <c r="D66" s="84"/>
    </row>
  </sheetData>
  <mergeCells count="58">
    <mergeCell ref="O46:Q46"/>
    <mergeCell ref="A48:C48"/>
    <mergeCell ref="O48:Q48"/>
    <mergeCell ref="C42:F42"/>
    <mergeCell ref="I42:K42"/>
    <mergeCell ref="C43:F43"/>
    <mergeCell ref="C44:F44"/>
    <mergeCell ref="C45:F45"/>
    <mergeCell ref="A46:C46"/>
    <mergeCell ref="M41:N41"/>
    <mergeCell ref="B33:E33"/>
    <mergeCell ref="O33:Q33"/>
    <mergeCell ref="B34:C34"/>
    <mergeCell ref="B35:C35"/>
    <mergeCell ref="B36:C36"/>
    <mergeCell ref="B37:E37"/>
    <mergeCell ref="O37:Q37"/>
    <mergeCell ref="B38:C38"/>
    <mergeCell ref="H38:L38"/>
    <mergeCell ref="A40:E40"/>
    <mergeCell ref="I40:K40"/>
    <mergeCell ref="C41:F41"/>
    <mergeCell ref="B32:C32"/>
    <mergeCell ref="B22:C22"/>
    <mergeCell ref="B23:C23"/>
    <mergeCell ref="B24:C24"/>
    <mergeCell ref="B25:E25"/>
    <mergeCell ref="B27:C27"/>
    <mergeCell ref="B28:C28"/>
    <mergeCell ref="B29:C29"/>
    <mergeCell ref="B30:C30"/>
    <mergeCell ref="B31:C31"/>
    <mergeCell ref="O25:Q25"/>
    <mergeCell ref="B26:C26"/>
    <mergeCell ref="O17:Q17"/>
    <mergeCell ref="B18:C18"/>
    <mergeCell ref="B19:C19"/>
    <mergeCell ref="B20:C20"/>
    <mergeCell ref="B21:C21"/>
    <mergeCell ref="O21:Q21"/>
    <mergeCell ref="B17:E17"/>
    <mergeCell ref="B12:C12"/>
    <mergeCell ref="B13:C13"/>
    <mergeCell ref="B14:C14"/>
    <mergeCell ref="B15:C15"/>
    <mergeCell ref="B16:C16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</mergeCells>
  <pageMargins left="0.27" right="0.16" top="0.18" bottom="0.32" header="0.11" footer="0.15"/>
  <pageSetup paperSize="9" orientation="landscape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1.81640625" style="8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303" bestFit="1" customWidth="1"/>
    <col min="19" max="16384" width="9.1796875" style="77"/>
  </cols>
  <sheetData>
    <row r="1" spans="1:18" ht="14.25" customHeight="1">
      <c r="A1" s="76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6" customFormat="1" ht="12.75" customHeight="1">
      <c r="A5" s="572" t="str">
        <f>Регистрация!A3</f>
        <v>Женщины 18 +  ОК-двоеборье</v>
      </c>
      <c r="B5" s="572"/>
      <c r="C5" s="572"/>
      <c r="D5" s="572"/>
      <c r="E5" s="572"/>
      <c r="F5" s="95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3" t="str">
        <f>Регистрация!L3</f>
        <v>27 сентября 2025</v>
      </c>
      <c r="P5" s="258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5">
      <c r="A7" s="8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303"/>
    </row>
    <row r="8" spans="1:18" s="133" customFormat="1" ht="11.25" customHeight="1">
      <c r="A8" s="165"/>
      <c r="B8" s="558"/>
      <c r="C8" s="558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52"/>
      <c r="D9" s="55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3"/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 t="e">
        <f>IF(I9=0," ",CONCATENATE(VLOOKUP(I9,Регистрация!$B$7:$N$39,3,FALSE)," ",VLOOKUP(I9,Регистрация!$B$7:$N$39,4,FALSE)))</f>
        <v>#N/A</v>
      </c>
      <c r="K9" s="564" t="e">
        <f>IF(J9=0," ",CONCATENATE(VLOOKUP(J9,Регистрация!$B$7:$N$39,3,FALSE)," ",VLOOKUP(J9,Регистрация!$B$7:$N$39,4,FALSE)))</f>
        <v>#N/A</v>
      </c>
      <c r="O9" s="555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6"/>
      <c r="Q9" s="557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8"/>
      <c r="C10" s="558"/>
      <c r="D10" s="165"/>
      <c r="E10" s="306"/>
      <c r="F10" s="108"/>
      <c r="G10" s="108"/>
      <c r="H10" s="45"/>
      <c r="I10" s="569" t="s">
        <v>0</v>
      </c>
      <c r="J10" s="569"/>
      <c r="K10" s="569"/>
      <c r="O10" s="307"/>
      <c r="P10" s="165"/>
      <c r="Q10" s="304"/>
      <c r="R10" s="165"/>
    </row>
    <row r="11" spans="1:18" s="133" customFormat="1" ht="11.25" customHeight="1">
      <c r="A11" s="165"/>
      <c r="B11" s="558"/>
      <c r="C11" s="558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8"/>
      <c r="C13" s="558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35"/>
      <c r="P13" s="98"/>
      <c r="Q13" s="304"/>
      <c r="R13" s="165"/>
    </row>
    <row r="14" spans="1:18" s="133" customFormat="1" ht="11.25" customHeight="1">
      <c r="A14" s="98">
        <v>17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165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8"/>
      <c r="C15" s="558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58"/>
      <c r="C16" s="558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51" t="str">
        <f>IF(Регистрация!$D$6&lt;A17," ",CONCATENATE(VLOOKUP(A17,Регистрация!$B$7:$N$39,3,FALSE)," ",VLOOKUP(A17,Регистрация!$B$7:$N$39,4,FALSE)," ","(",VLOOKUP(A17,Регистрация!$B$7:$N$39,11,FALSE),")"))</f>
        <v>Носкова Александра (Политех)</v>
      </c>
      <c r="C17" s="552"/>
      <c r="D17" s="552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53"/>
      <c r="F17" s="47"/>
      <c r="G17" s="311"/>
      <c r="H17" s="47"/>
      <c r="I17" s="311"/>
      <c r="J17" s="108"/>
      <c r="K17" s="312"/>
      <c r="L17" s="47"/>
      <c r="M17" s="312"/>
      <c r="N17" s="47"/>
      <c r="O17" s="555" t="str">
        <f>IF(Регистрация!$D$6&lt;R17," ",CONCATENATE(VLOOKUP(R17,Регистрация!$B$7:$N$39,3,FALSE)," ",VLOOKUP(R17,Регистрация!$B$7:$N$39,4,FALSE)," ","(",VLOOKUP(R17,Регистрация!$B$7:$N$39,11,FALSE),")"))</f>
        <v>Павлова Мария (Политех)</v>
      </c>
      <c r="P17" s="556"/>
      <c r="Q17" s="557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58"/>
      <c r="C18" s="558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58"/>
      <c r="C19" s="558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98">
        <v>13</v>
      </c>
      <c r="B20" s="570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0"/>
      <c r="D20" s="165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165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58"/>
      <c r="C21" s="558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35"/>
      <c r="P21" s="98"/>
      <c r="Q21" s="304"/>
      <c r="R21" s="165"/>
    </row>
    <row r="22" spans="1:18" ht="11.25" customHeight="1">
      <c r="A22" s="98">
        <v>21</v>
      </c>
      <c r="B22" s="570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0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22</v>
      </c>
    </row>
    <row r="23" spans="1:18" ht="11.25" customHeight="1">
      <c r="A23" s="165"/>
      <c r="B23" s="558"/>
      <c r="C23" s="558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58"/>
      <c r="C24" s="558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51" t="str">
        <f>IF(Регистрация!$D$6&lt;A25," ",CONCATENATE(VLOOKUP(A25,Регистрация!$B$7:$N$39,3,FALSE)," ",VLOOKUP(A25,Регистрация!$B$7:$N$39,4,FALSE)," ","(",VLOOKUP(A25,Регистрация!$B$7:$N$39,11,FALSE),")"))</f>
        <v>Паранина Полина (Политех)</v>
      </c>
      <c r="C25" s="552"/>
      <c r="D25" s="552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53"/>
      <c r="F25" s="47"/>
      <c r="G25" s="316"/>
      <c r="H25" s="47"/>
      <c r="I25" s="311"/>
      <c r="K25" s="312"/>
      <c r="L25" s="47"/>
      <c r="M25" s="317"/>
      <c r="N25" s="47"/>
      <c r="O25" s="555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6"/>
      <c r="Q25" s="557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58"/>
      <c r="C26" s="558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8"/>
      <c r="C27" s="558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70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0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8"/>
      <c r="C29" s="558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35"/>
      <c r="P29" s="98"/>
      <c r="Q29" s="304"/>
      <c r="R29" s="165"/>
    </row>
    <row r="30" spans="1:18" ht="11.25" customHeight="1">
      <c r="A30" s="98">
        <v>19</v>
      </c>
      <c r="B30" s="57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0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58"/>
      <c r="C31" s="558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8"/>
      <c r="C32" s="558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1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2"/>
      <c r="D33" s="552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3"/>
      <c r="F33" s="47"/>
      <c r="G33" s="311"/>
      <c r="H33" s="144"/>
      <c r="I33" s="144"/>
      <c r="M33" s="312"/>
      <c r="N33" s="47"/>
      <c r="O33" s="555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6"/>
      <c r="Q33" s="557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58"/>
      <c r="C34" s="558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8"/>
      <c r="C35" s="558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165"/>
      <c r="B36" s="558"/>
      <c r="C36" s="558"/>
      <c r="D36" s="165"/>
      <c r="E36" s="306"/>
      <c r="F36" s="144"/>
      <c r="G36" s="144"/>
      <c r="H36" s="144"/>
      <c r="I36" s="144"/>
      <c r="O36" s="307"/>
      <c r="P36" s="165"/>
      <c r="Q36" s="304"/>
      <c r="R36" s="165"/>
    </row>
    <row r="37" spans="1:18" ht="11.25" customHeight="1">
      <c r="A37" s="98">
        <v>15</v>
      </c>
      <c r="B37" s="551" t="str">
        <f>IF(Регистрация!$D$6&lt;A37," ",CONCATENATE(VLOOKUP(A37,Регистрация!$B$7:$N$39,3,FALSE)," ",VLOOKUP(A37,Регистрация!$B$7:$N$39,4,FALSE)," ","(",VLOOKUP(A37,Регистрация!$B$7:$N$39,11,FALSE),")"))</f>
        <v xml:space="preserve"> </v>
      </c>
      <c r="C37" s="552"/>
      <c r="D37" s="552" t="e">
        <f>IF(Регистрация!$D$6&lt;C37," ",CONCATENATE(VLOOKUP(C37,Регистрация!$B$7:$N$39,3,FALSE)," ",VLOOKUP(C37,Регистрация!$B$7:$N$39,4,FALSE)," ","(",VLOOKUP(C37,Регистрация!$B$7:$N$39,11,FALSE),")"))</f>
        <v>#N/A</v>
      </c>
      <c r="E37" s="553"/>
      <c r="F37" s="144"/>
      <c r="G37" s="144"/>
      <c r="H37" s="265"/>
      <c r="I37" s="318"/>
      <c r="J37" s="108"/>
      <c r="O37" s="555" t="str">
        <f>IF(Регистрация!$D$6&lt;R37," ",CONCATENATE(VLOOKUP(R37,Регистрация!$B$7:$N$39,3,FALSE)," ",VLOOKUP(R37,Регистрация!$B$7:$N$39,4,FALSE)," ","(",VLOOKUP(R37,Регистрация!$B$7:$N$39,11,FALSE),")"))</f>
        <v xml:space="preserve"> </v>
      </c>
      <c r="P37" s="556"/>
      <c r="Q37" s="557" t="e">
        <f>IF(Регистрация!$D$6&lt;P37," ",CONCATENATE(VLOOKUP(P37,Регистрация!$B$7:$N$39,3,FALSE)," ",VLOOKUP(P37,Регистрация!$B$7:$N$39,4,FALSE)," ","(",VLOOKUP(P37,Регистрация!$B$7:$N$39,11,FALSE),")"))</f>
        <v>#N/A</v>
      </c>
      <c r="R37" s="98">
        <v>16</v>
      </c>
    </row>
    <row r="38" spans="1:18" ht="11.25" customHeight="1">
      <c r="A38" s="165"/>
      <c r="B38" s="558"/>
      <c r="C38" s="558"/>
      <c r="D38" s="142"/>
      <c r="E38" s="110"/>
      <c r="F38" s="254"/>
      <c r="G38" s="254"/>
      <c r="H38" s="559" t="s">
        <v>25</v>
      </c>
      <c r="I38" s="559"/>
      <c r="J38" s="559"/>
      <c r="K38" s="559"/>
      <c r="L38" s="559"/>
      <c r="Q38" s="304"/>
      <c r="R38" s="165"/>
    </row>
    <row r="39" spans="1:18" ht="12" customHeight="1">
      <c r="D39" s="178"/>
      <c r="E39" s="128"/>
      <c r="H39" s="265"/>
      <c r="J39" s="108"/>
    </row>
    <row r="40" spans="1:18" ht="12" customHeight="1">
      <c r="A40" s="560" t="s">
        <v>16</v>
      </c>
      <c r="B40" s="560"/>
      <c r="C40" s="561"/>
      <c r="D40" s="561"/>
      <c r="E40" s="561"/>
      <c r="H40" s="98">
        <f>IF(H23=0,0,IF(H23=H15,H31,H15))</f>
        <v>0</v>
      </c>
      <c r="I40" s="562" t="str">
        <f>IF(H40=0," ",CONCATENATE(VLOOKUP(H40,Регистрация!$B$7:$N$39,3,FALSE)," ",VLOOKUP(H40,Регистрация!$B$7:$N$39,4,FALSE)))</f>
        <v xml:space="preserve"> </v>
      </c>
      <c r="J40" s="563" t="e">
        <f>IF(I40=0," ",CONCATENATE(VLOOKUP(I40,Регистрация!$B$7:$N$39,3,FALSE)," ",VLOOKUP(I40,Регистрация!$B$7:$N$39,4,FALSE)))</f>
        <v>#N/A</v>
      </c>
      <c r="K40" s="564" t="e">
        <f>IF(J40=0," ",CONCATENATE(VLOOKUP(J40,Регистрация!$B$7:$N$39,3,FALSE)," ",VLOOKUP(J40,Регистрация!$B$7:$N$39,4,FALSE)))</f>
        <v>#N/A</v>
      </c>
    </row>
    <row r="41" spans="1:18" ht="12" customHeight="1">
      <c r="A41" s="80"/>
      <c r="B41" s="319" t="s">
        <v>28</v>
      </c>
      <c r="C41" s="573" t="s">
        <v>17</v>
      </c>
      <c r="D41" s="574"/>
      <c r="E41" s="574"/>
      <c r="F41" s="575"/>
      <c r="H41" s="165"/>
      <c r="I41" s="320"/>
      <c r="J41" s="167"/>
      <c r="K41" s="167"/>
      <c r="L41" s="46"/>
      <c r="M41" s="568" t="str">
        <f>IF(L41=0," ",CONCATENATE(VLOOKUP(L41,Регистрация!$B$7:$N$39,3,FALSE)," ",VLOOKUP(L41,Регистрация!$B$7:$N$39,4,FALSE)))</f>
        <v xml:space="preserve"> </v>
      </c>
      <c r="N41" s="568"/>
    </row>
    <row r="42" spans="1:18" ht="12" customHeight="1">
      <c r="A42" s="89">
        <f>H9</f>
        <v>0</v>
      </c>
      <c r="B42" s="97">
        <v>1</v>
      </c>
      <c r="C42" s="551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52"/>
      <c r="E42" s="552"/>
      <c r="F42" s="553"/>
      <c r="G42" s="111"/>
      <c r="H42" s="98">
        <f>IF(L23=0,0,IF(L23=L15,L31,L15))</f>
        <v>0</v>
      </c>
      <c r="I42" s="562" t="str">
        <f>IF(H42=0," ",CONCATENATE(VLOOKUP(H42,Регистрация!$B$7:$N$39,3,FALSE)," ",VLOOKUP(H42,Регистрация!$B$7:$N$39,4,FALSE)))</f>
        <v xml:space="preserve"> </v>
      </c>
      <c r="J42" s="563" t="e">
        <f>IF(I42=0," ",CONCATENATE(VLOOKUP(I42,Регистрация!$B$7:$N$39,3,FALSE)," ",VLOOKUP(I42,Регистрация!$B$7:$N$39,4,FALSE)))</f>
        <v>#N/A</v>
      </c>
      <c r="K42" s="564" t="e">
        <f>IF(J42=0," ",CONCATENATE(VLOOKUP(J42,Регистрация!$B$7:$N$39,3,FALSE)," ",VLOOKUP(J42,Регистрация!$B$7:$N$39,4,FALSE)))</f>
        <v>#N/A</v>
      </c>
    </row>
    <row r="43" spans="1:18" ht="12" customHeight="1">
      <c r="A43" s="89">
        <f>IF(H9=0,0,IF(H9=H23,L23,H23))</f>
        <v>0</v>
      </c>
      <c r="B43" s="97">
        <v>2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</row>
    <row r="44" spans="1:18" ht="12" customHeight="1">
      <c r="A44" s="89">
        <f>L41</f>
        <v>0</v>
      </c>
      <c r="B44" s="97">
        <v>3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2" customHeight="1">
      <c r="A45" s="89">
        <f>IF(L41=0,0,IF(L41=H40,H42,H40))</f>
        <v>0</v>
      </c>
      <c r="B45" s="97">
        <v>4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</row>
    <row r="46" spans="1:18" s="78" customFormat="1" ht="23.25" customHeight="1">
      <c r="A46" s="554" t="s">
        <v>26</v>
      </c>
      <c r="B46" s="554"/>
      <c r="C46" s="554"/>
      <c r="D46" s="178"/>
      <c r="E46" s="168"/>
      <c r="F46" s="168"/>
      <c r="G46" s="168"/>
      <c r="H46" s="321"/>
      <c r="I46" s="321"/>
      <c r="J46" s="321"/>
      <c r="K46" s="321"/>
      <c r="L46" s="321"/>
      <c r="M46" s="168"/>
      <c r="N46" s="168"/>
      <c r="O46" s="554" t="str">
        <f>Регистрация!N73</f>
        <v>Цыльев В.А. С1К</v>
      </c>
      <c r="P46" s="554"/>
      <c r="Q46" s="554"/>
      <c r="R46" s="322"/>
    </row>
    <row r="47" spans="1:18" s="78" customFormat="1" ht="13.5" customHeight="1">
      <c r="A47" s="178"/>
      <c r="B47" s="168"/>
      <c r="C47" s="168"/>
      <c r="D47" s="17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322"/>
    </row>
    <row r="48" spans="1:18" s="78" customFormat="1" ht="15.75" customHeight="1">
      <c r="A48" s="554" t="s">
        <v>27</v>
      </c>
      <c r="B48" s="554"/>
      <c r="C48" s="554"/>
      <c r="D48" s="178"/>
      <c r="E48" s="168"/>
      <c r="F48" s="168"/>
      <c r="G48" s="168"/>
      <c r="H48" s="321"/>
      <c r="I48" s="321"/>
      <c r="J48" s="321"/>
      <c r="K48" s="321"/>
      <c r="L48" s="321"/>
      <c r="M48" s="168"/>
      <c r="N48" s="168"/>
      <c r="O48" s="554" t="str">
        <f>Регистрация!N74</f>
        <v>Орлова Е.С 3 К</v>
      </c>
      <c r="P48" s="554"/>
      <c r="Q48" s="554"/>
      <c r="R48" s="322"/>
    </row>
    <row r="49" spans="1:4" s="77" customFormat="1" ht="13">
      <c r="A49" s="84"/>
      <c r="D49" s="84"/>
    </row>
    <row r="50" spans="1:4" s="77" customFormat="1" ht="13"/>
    <row r="51" spans="1:4" s="77" customFormat="1" ht="13"/>
    <row r="52" spans="1:4" s="77" customFormat="1" ht="13"/>
    <row r="53" spans="1:4" s="77" customFormat="1" ht="13"/>
    <row r="54" spans="1:4" s="77" customFormat="1" ht="13"/>
    <row r="55" spans="1:4" s="77" customFormat="1" ht="13"/>
    <row r="56" spans="1:4" s="77" customFormat="1" ht="13"/>
    <row r="57" spans="1:4" s="77" customFormat="1" ht="13"/>
    <row r="58" spans="1:4" s="77" customFormat="1" ht="13"/>
    <row r="59" spans="1:4" s="77" customFormat="1" ht="13"/>
    <row r="60" spans="1:4" s="77" customFormat="1" ht="13"/>
    <row r="61" spans="1:4" s="77" customFormat="1" ht="13"/>
    <row r="62" spans="1:4" s="77" customFormat="1" ht="13"/>
    <row r="63" spans="1:4" s="77" customFormat="1" ht="13"/>
    <row r="64" spans="1:4" s="77" customFormat="1" ht="13"/>
    <row r="65" spans="1:4" s="77" customFormat="1" ht="13"/>
    <row r="66" spans="1:4" s="77" customFormat="1" ht="13">
      <c r="A66" s="84"/>
      <c r="D66" s="84"/>
    </row>
  </sheetData>
  <mergeCells count="57">
    <mergeCell ref="O46:Q46"/>
    <mergeCell ref="A48:C48"/>
    <mergeCell ref="O48:Q48"/>
    <mergeCell ref="C42:F42"/>
    <mergeCell ref="I42:K42"/>
    <mergeCell ref="C43:F43"/>
    <mergeCell ref="C44:F44"/>
    <mergeCell ref="C45:F45"/>
    <mergeCell ref="A46:C46"/>
    <mergeCell ref="M41:N41"/>
    <mergeCell ref="O33:Q33"/>
    <mergeCell ref="B34:C34"/>
    <mergeCell ref="B35:C35"/>
    <mergeCell ref="B36:C36"/>
    <mergeCell ref="B37:E37"/>
    <mergeCell ref="O37:Q37"/>
    <mergeCell ref="B33:E33"/>
    <mergeCell ref="B38:C38"/>
    <mergeCell ref="H38:L38"/>
    <mergeCell ref="A40:E40"/>
    <mergeCell ref="I40:K40"/>
    <mergeCell ref="C41:F41"/>
    <mergeCell ref="B28:C28"/>
    <mergeCell ref="B29:C29"/>
    <mergeCell ref="B30:C30"/>
    <mergeCell ref="B31:C31"/>
    <mergeCell ref="B32:C32"/>
    <mergeCell ref="B27:C27"/>
    <mergeCell ref="O17:Q17"/>
    <mergeCell ref="B18:C18"/>
    <mergeCell ref="B19:C19"/>
    <mergeCell ref="B20:C20"/>
    <mergeCell ref="B21:C21"/>
    <mergeCell ref="B22:C22"/>
    <mergeCell ref="B17:E17"/>
    <mergeCell ref="B23:C23"/>
    <mergeCell ref="B24:C24"/>
    <mergeCell ref="B25:E25"/>
    <mergeCell ref="O25:Q25"/>
    <mergeCell ref="B26:C26"/>
    <mergeCell ref="B12:C12"/>
    <mergeCell ref="B13:C13"/>
    <mergeCell ref="B14:C14"/>
    <mergeCell ref="B15:C15"/>
    <mergeCell ref="B16:C16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</mergeCells>
  <pageMargins left="0.32" right="0.16" top="0.18" bottom="0.24" header="0.11" footer="0.15"/>
  <pageSetup paperSize="9" orientation="landscape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1.81640625" style="8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303" bestFit="1" customWidth="1"/>
    <col min="19" max="16384" width="9.1796875" style="77"/>
  </cols>
  <sheetData>
    <row r="1" spans="1:18" ht="14.25" customHeight="1">
      <c r="A1" s="76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6" customFormat="1" ht="12.75" customHeight="1">
      <c r="A5" s="572" t="str">
        <f>Регистрация!A3</f>
        <v>Женщины 18 +  ОК-двоеборье</v>
      </c>
      <c r="B5" s="572"/>
      <c r="C5" s="572"/>
      <c r="D5" s="572"/>
      <c r="E5" s="572"/>
      <c r="F5" s="572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3" t="str">
        <f>Регистрация!L3</f>
        <v>27 сентября 2025</v>
      </c>
      <c r="P5" s="258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5">
      <c r="A7" s="8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303"/>
    </row>
    <row r="8" spans="1:18" s="133" customFormat="1" ht="11.25" customHeight="1">
      <c r="A8" s="165"/>
      <c r="B8" s="558"/>
      <c r="C8" s="558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52"/>
      <c r="D9" s="55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3"/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 t="e">
        <f>IF(I9=0," ",CONCATENATE(VLOOKUP(I9,Регистрация!$B$7:$N$39,3,FALSE)," ",VLOOKUP(I9,Регистрация!$B$7:$N$39,4,FALSE)))</f>
        <v>#N/A</v>
      </c>
      <c r="K9" s="564" t="e">
        <f>IF(J9=0," ",CONCATENATE(VLOOKUP(J9,Регистрация!$B$7:$N$39,3,FALSE)," ",VLOOKUP(J9,Регистрация!$B$7:$N$39,4,FALSE)))</f>
        <v>#N/A</v>
      </c>
      <c r="O9" s="555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6"/>
      <c r="Q9" s="557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8"/>
      <c r="C10" s="558"/>
      <c r="D10" s="165"/>
      <c r="E10" s="306"/>
      <c r="F10" s="108"/>
      <c r="G10" s="108"/>
      <c r="H10" s="45"/>
      <c r="I10" s="569" t="s">
        <v>0</v>
      </c>
      <c r="J10" s="569"/>
      <c r="K10" s="569"/>
      <c r="O10" s="307"/>
      <c r="P10" s="165"/>
      <c r="Q10" s="304"/>
      <c r="R10" s="165"/>
    </row>
    <row r="11" spans="1:18" s="133" customFormat="1" ht="11.25" customHeight="1">
      <c r="A11" s="165"/>
      <c r="B11" s="558"/>
      <c r="C11" s="558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8"/>
      <c r="C13" s="558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35"/>
      <c r="P13" s="46"/>
      <c r="Q13" s="304"/>
      <c r="R13" s="165"/>
    </row>
    <row r="14" spans="1:18" s="133" customFormat="1" ht="11.25" customHeight="1">
      <c r="A14" s="98">
        <v>17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165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8"/>
      <c r="C15" s="558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58"/>
      <c r="C16" s="558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51" t="str">
        <f>IF(Регистрация!$D$6&lt;A17," ",CONCATENATE(VLOOKUP(A17,Регистрация!$B$7:$N$39,3,FALSE)," ",VLOOKUP(A17,Регистрация!$B$7:$N$39,4,FALSE)," ","(",VLOOKUP(A17,Регистрация!$B$7:$N$39,11,FALSE),")"))</f>
        <v>Носкова Александра (Политех)</v>
      </c>
      <c r="C17" s="552"/>
      <c r="D17" s="552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53"/>
      <c r="F17" s="47"/>
      <c r="G17" s="311"/>
      <c r="H17" s="47"/>
      <c r="I17" s="311"/>
      <c r="J17" s="108"/>
      <c r="K17" s="312"/>
      <c r="L17" s="47"/>
      <c r="M17" s="312"/>
      <c r="N17" s="47"/>
      <c r="O17" s="555" t="str">
        <f>IF(Регистрация!$D$6&lt;R17," ",CONCATENATE(VLOOKUP(R17,Регистрация!$B$7:$N$39,3,FALSE)," ",VLOOKUP(R17,Регистрация!$B$7:$N$39,4,FALSE)," ","(",VLOOKUP(R17,Регистрация!$B$7:$N$39,11,FALSE),")"))</f>
        <v>Павлова Мария (Политех)</v>
      </c>
      <c r="P17" s="556"/>
      <c r="Q17" s="557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58"/>
      <c r="C18" s="558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58"/>
      <c r="C19" s="558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98">
        <v>13</v>
      </c>
      <c r="B20" s="570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0"/>
      <c r="D20" s="165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165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58"/>
      <c r="C21" s="558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79" t="str">
        <f>IF(P21=0," ",CONCATENATE(VLOOKUP(P21,Регистрация!$B$7:$N$39,3,FALSE)," ",VLOOKUP(P21,Регистрация!$B$7:$N$39,4,FALSE)))</f>
        <v xml:space="preserve"> </v>
      </c>
      <c r="P21" s="46"/>
      <c r="Q21" s="304"/>
      <c r="R21" s="165"/>
    </row>
    <row r="22" spans="1:18" ht="11.25" customHeight="1">
      <c r="A22" s="98">
        <v>21</v>
      </c>
      <c r="B22" s="570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0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22</v>
      </c>
    </row>
    <row r="23" spans="1:18" ht="11.25" customHeight="1">
      <c r="A23" s="165"/>
      <c r="B23" s="558"/>
      <c r="C23" s="558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58"/>
      <c r="C24" s="558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51" t="str">
        <f>IF(Регистрация!$D$6&lt;A25," ",CONCATENATE(VLOOKUP(A25,Регистрация!$B$7:$N$39,3,FALSE)," ",VLOOKUP(A25,Регистрация!$B$7:$N$39,4,FALSE)," ","(",VLOOKUP(A25,Регистрация!$B$7:$N$39,11,FALSE),")"))</f>
        <v>Паранина Полина (Политех)</v>
      </c>
      <c r="C25" s="552"/>
      <c r="D25" s="552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53"/>
      <c r="F25" s="47"/>
      <c r="G25" s="316"/>
      <c r="H25" s="47"/>
      <c r="I25" s="311"/>
      <c r="K25" s="312"/>
      <c r="L25" s="47"/>
      <c r="M25" s="317"/>
      <c r="N25" s="47"/>
      <c r="O25" s="555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6"/>
      <c r="Q25" s="557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58"/>
      <c r="C26" s="558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8"/>
      <c r="C27" s="558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70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0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8"/>
      <c r="C29" s="558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IF(P29=0," ",CONCATENATE(VLOOKUP(P29,Регистрация!$B$7:$N$39,3,FALSE)," ",VLOOKUP(P29,Регистрация!$B$7:$N$39,4,FALSE)))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19</v>
      </c>
      <c r="B30" s="57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0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58"/>
      <c r="C31" s="558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8"/>
      <c r="C32" s="558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1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2"/>
      <c r="D33" s="552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3"/>
      <c r="F33" s="47"/>
      <c r="G33" s="311"/>
      <c r="H33" s="144"/>
      <c r="I33" s="144"/>
      <c r="M33" s="312"/>
      <c r="N33" s="47"/>
      <c r="O33" s="555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6"/>
      <c r="Q33" s="557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58"/>
      <c r="C34" s="558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8"/>
      <c r="C35" s="558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98">
        <v>15</v>
      </c>
      <c r="B36" s="570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70"/>
      <c r="D36" s="165"/>
      <c r="E36" s="308"/>
      <c r="F36" s="144"/>
      <c r="G36" s="144"/>
      <c r="H36" s="144"/>
      <c r="I36" s="144"/>
      <c r="O36" s="307"/>
      <c r="P36" s="165"/>
      <c r="Q36" s="304"/>
      <c r="R36" s="165"/>
    </row>
    <row r="37" spans="1:18" ht="11.25" customHeight="1">
      <c r="A37" s="165"/>
      <c r="B37" s="558"/>
      <c r="C37" s="558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555" t="str">
        <f>IF(Регистрация!$D$6&lt;R37," ",CONCATENATE(VLOOKUP(R37,Регистрация!$B$7:$N$39,3,FALSE)," ",VLOOKUP(R37,Регистрация!$B$7:$N$39,4,FALSE)," ","(",VLOOKUP(R37,Регистрация!$B$7:$N$39,11,FALSE),")"))</f>
        <v xml:space="preserve"> </v>
      </c>
      <c r="P37" s="556"/>
      <c r="Q37" s="557" t="e">
        <f>IF(Регистрация!$D$6&lt;P37," ",CONCATENATE(VLOOKUP(P37,Регистрация!$B$7:$N$39,3,FALSE)," ",VLOOKUP(P37,Регистрация!$B$7:$N$39,4,FALSE)," ","(",VLOOKUP(P37,Регистрация!$B$7:$N$39,11,FALSE),")"))</f>
        <v>#N/A</v>
      </c>
      <c r="R37" s="98">
        <v>16</v>
      </c>
    </row>
    <row r="38" spans="1:18" ht="11.25" customHeight="1">
      <c r="A38" s="98">
        <v>23</v>
      </c>
      <c r="B38" s="570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70"/>
      <c r="D38" s="142"/>
      <c r="E38" s="110"/>
      <c r="F38" s="254"/>
      <c r="G38" s="254"/>
      <c r="H38" s="559"/>
      <c r="I38" s="559"/>
      <c r="J38" s="559"/>
      <c r="K38" s="559"/>
      <c r="L38" s="559"/>
      <c r="Q38" s="304"/>
      <c r="R38" s="165"/>
    </row>
    <row r="39" spans="1:18" ht="12" customHeight="1">
      <c r="A39" s="165"/>
      <c r="B39" s="558"/>
      <c r="C39" s="558"/>
      <c r="D39" s="142"/>
      <c r="E39" s="110"/>
      <c r="F39" s="254"/>
      <c r="G39" s="254"/>
      <c r="H39" s="559" t="s">
        <v>25</v>
      </c>
      <c r="I39" s="559"/>
      <c r="J39" s="559"/>
      <c r="K39" s="559"/>
      <c r="L39" s="559"/>
      <c r="Q39" s="304"/>
      <c r="R39" s="165"/>
    </row>
    <row r="40" spans="1:18" ht="11.25" customHeight="1">
      <c r="D40" s="178"/>
      <c r="E40" s="128"/>
      <c r="H40" s="265"/>
      <c r="J40" s="108"/>
    </row>
    <row r="41" spans="1:18" ht="11.25" customHeight="1">
      <c r="A41" s="560" t="s">
        <v>16</v>
      </c>
      <c r="B41" s="560"/>
      <c r="C41" s="561"/>
      <c r="D41" s="561"/>
      <c r="E41" s="561"/>
      <c r="H41" s="98">
        <f>IF(H23=0,0,IF(H23=H15,H31,H15))</f>
        <v>0</v>
      </c>
      <c r="I41" s="562" t="str">
        <f>IF(H41=0," ",CONCATENATE(VLOOKUP(H41,Регистрация!$B$7:$N$39,3,FALSE)," ",VLOOKUP(H41,Регистрация!$B$7:$N$39,4,FALSE)))</f>
        <v xml:space="preserve"> </v>
      </c>
      <c r="J41" s="563" t="e">
        <f>IF(I41=0," ",CONCATENATE(VLOOKUP(I41,Регистрация!$B$7:$N$39,3,FALSE)," ",VLOOKUP(I41,Регистрация!$B$7:$N$39,4,FALSE)))</f>
        <v>#N/A</v>
      </c>
      <c r="K41" s="564" t="e">
        <f>IF(J41=0," ",CONCATENATE(VLOOKUP(J41,Регистрация!$B$7:$N$39,3,FALSE)," ",VLOOKUP(J41,Регистрация!$B$7:$N$39,4,FALSE)))</f>
        <v>#N/A</v>
      </c>
    </row>
    <row r="42" spans="1:18" ht="11.25" customHeight="1">
      <c r="A42" s="80"/>
      <c r="B42" s="319" t="s">
        <v>28</v>
      </c>
      <c r="C42" s="573" t="s">
        <v>17</v>
      </c>
      <c r="D42" s="574"/>
      <c r="E42" s="574"/>
      <c r="F42" s="575"/>
      <c r="H42" s="165"/>
      <c r="I42" s="320"/>
      <c r="J42" s="167"/>
      <c r="K42" s="167"/>
      <c r="L42" s="46"/>
      <c r="M42" s="568" t="str">
        <f>IF(L42=0," ",CONCATENATE(VLOOKUP(L42,Регистрация!$B$7:$N$39,3,FALSE)," ",VLOOKUP(L42,Регистрация!$B$7:$N$39,4,FALSE)))</f>
        <v xml:space="preserve"> </v>
      </c>
      <c r="N42" s="568"/>
    </row>
    <row r="43" spans="1:18" ht="11.25" customHeight="1">
      <c r="A43" s="89">
        <f>H9</f>
        <v>0</v>
      </c>
      <c r="B43" s="97">
        <v>1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  <c r="G43" s="111"/>
      <c r="H43" s="98">
        <f>IF(L23=0,0,IF(L23=L15,L31,L15))</f>
        <v>0</v>
      </c>
      <c r="I43" s="562" t="str">
        <f>IF(H43=0," ",CONCATENATE(VLOOKUP(H43,Регистрация!$B$7:$N$39,3,FALSE)," ",VLOOKUP(H43,Регистрация!$B$7:$N$39,4,FALSE)))</f>
        <v xml:space="preserve"> </v>
      </c>
      <c r="J43" s="563" t="e">
        <f>IF(I43=0," ",CONCATENATE(VLOOKUP(I43,Регистрация!$B$7:$N$39,3,FALSE)," ",VLOOKUP(I43,Регистрация!$B$7:$N$39,4,FALSE)))</f>
        <v>#N/A</v>
      </c>
      <c r="K43" s="564" t="e">
        <f>IF(J43=0," ",CONCATENATE(VLOOKUP(J43,Регистрация!$B$7:$N$39,3,FALSE)," ",VLOOKUP(J43,Регистрация!$B$7:$N$39,4,FALSE)))</f>
        <v>#N/A</v>
      </c>
    </row>
    <row r="44" spans="1:18" ht="11.25" customHeight="1">
      <c r="A44" s="89">
        <f>IF(H9=0,0,IF(H9=H23,L23,H23))</f>
        <v>0</v>
      </c>
      <c r="B44" s="97">
        <v>2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1.25" customHeight="1">
      <c r="A45" s="89">
        <f>L42</f>
        <v>0</v>
      </c>
      <c r="B45" s="97">
        <v>3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</row>
    <row r="46" spans="1:18" s="78" customFormat="1" ht="11.25" customHeight="1">
      <c r="A46" s="89">
        <f>IF(L42=0,0,IF(L42=H41,H43,H41))</f>
        <v>0</v>
      </c>
      <c r="B46" s="97">
        <v>4</v>
      </c>
      <c r="C46" s="551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52"/>
      <c r="E46" s="552"/>
      <c r="F46" s="553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7.75" customHeight="1">
      <c r="A47" s="554" t="s">
        <v>26</v>
      </c>
      <c r="B47" s="554"/>
      <c r="C47" s="554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54" t="str">
        <f>Регистрация!N73</f>
        <v>Цыльев В.А. С1К</v>
      </c>
      <c r="P47" s="554"/>
      <c r="Q47" s="554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">
      <c r="A49" s="554" t="s">
        <v>27</v>
      </c>
      <c r="B49" s="554"/>
      <c r="C49" s="554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54" t="str">
        <f>Регистрация!N74</f>
        <v>Орлова Е.С 3 К</v>
      </c>
      <c r="P49" s="554"/>
      <c r="Q49" s="554"/>
      <c r="R49" s="322"/>
    </row>
    <row r="50" spans="1:18" ht="13">
      <c r="A50" s="77"/>
      <c r="D50" s="77"/>
      <c r="R50" s="77"/>
    </row>
    <row r="51" spans="1:18" ht="13">
      <c r="A51" s="77"/>
      <c r="D51" s="77"/>
      <c r="R51" s="77"/>
    </row>
    <row r="52" spans="1:18" ht="13">
      <c r="A52" s="77"/>
      <c r="D52" s="77"/>
      <c r="R52" s="77"/>
    </row>
    <row r="53" spans="1:18" ht="13">
      <c r="A53" s="77"/>
      <c r="D53" s="77"/>
      <c r="R53" s="77"/>
    </row>
    <row r="54" spans="1:18" ht="13">
      <c r="A54" s="77"/>
      <c r="D54" s="77"/>
      <c r="R54" s="77"/>
    </row>
    <row r="55" spans="1:18" ht="13">
      <c r="A55" s="77"/>
      <c r="D55" s="77"/>
      <c r="R55" s="77"/>
    </row>
    <row r="56" spans="1:18" ht="13">
      <c r="A56" s="77"/>
      <c r="D56" s="77"/>
      <c r="R56" s="77"/>
    </row>
    <row r="57" spans="1:18" ht="13">
      <c r="A57" s="77"/>
      <c r="D57" s="77"/>
      <c r="R57" s="77"/>
    </row>
    <row r="58" spans="1:18" ht="13">
      <c r="A58" s="77"/>
      <c r="D58" s="77"/>
      <c r="R58" s="77"/>
    </row>
    <row r="59" spans="1:18" ht="13">
      <c r="A59" s="77"/>
      <c r="D59" s="77"/>
      <c r="R59" s="77"/>
    </row>
    <row r="60" spans="1:18" ht="13">
      <c r="A60" s="77"/>
      <c r="D60" s="77"/>
      <c r="R60" s="77"/>
    </row>
    <row r="61" spans="1:18" ht="13">
      <c r="A61" s="77"/>
      <c r="D61" s="77"/>
      <c r="R61" s="77"/>
    </row>
    <row r="62" spans="1:18" ht="13">
      <c r="A62" s="77"/>
      <c r="D62" s="77"/>
      <c r="R62" s="77"/>
    </row>
    <row r="63" spans="1:18" ht="13">
      <c r="A63" s="77"/>
      <c r="D63" s="77"/>
      <c r="R63" s="77"/>
    </row>
    <row r="64" spans="1:18" ht="13">
      <c r="A64" s="77"/>
      <c r="D64" s="77"/>
      <c r="R64" s="77"/>
    </row>
    <row r="65" spans="1:4" s="77" customFormat="1" ht="13"/>
    <row r="66" spans="1:4" s="77" customFormat="1" ht="13">
      <c r="A66" s="84"/>
      <c r="D66" s="84"/>
    </row>
  </sheetData>
  <mergeCells count="59">
    <mergeCell ref="A47:C47"/>
    <mergeCell ref="O47:Q47"/>
    <mergeCell ref="A49:C49"/>
    <mergeCell ref="O49:Q49"/>
    <mergeCell ref="B39:C39"/>
    <mergeCell ref="H39:L39"/>
    <mergeCell ref="A41:E41"/>
    <mergeCell ref="I41:K41"/>
    <mergeCell ref="M42:N42"/>
    <mergeCell ref="I43:K43"/>
    <mergeCell ref="C46:F46"/>
    <mergeCell ref="C42:F42"/>
    <mergeCell ref="C43:F43"/>
    <mergeCell ref="C44:F44"/>
    <mergeCell ref="C45:F45"/>
    <mergeCell ref="B38:C38"/>
    <mergeCell ref="H38:L38"/>
    <mergeCell ref="O33:Q33"/>
    <mergeCell ref="B34:C34"/>
    <mergeCell ref="B35:C35"/>
    <mergeCell ref="B36:C36"/>
    <mergeCell ref="B37:C37"/>
    <mergeCell ref="O37:Q37"/>
    <mergeCell ref="B33:E33"/>
    <mergeCell ref="B28:C28"/>
    <mergeCell ref="B29:C29"/>
    <mergeCell ref="B30:C30"/>
    <mergeCell ref="B31:C31"/>
    <mergeCell ref="B32:C32"/>
    <mergeCell ref="B27:C27"/>
    <mergeCell ref="O17:Q17"/>
    <mergeCell ref="B18:C18"/>
    <mergeCell ref="B19:C19"/>
    <mergeCell ref="B20:C20"/>
    <mergeCell ref="B21:C21"/>
    <mergeCell ref="B22:C22"/>
    <mergeCell ref="B17:E17"/>
    <mergeCell ref="B23:C23"/>
    <mergeCell ref="B24:C24"/>
    <mergeCell ref="B25:E25"/>
    <mergeCell ref="O25:Q25"/>
    <mergeCell ref="B26:C26"/>
    <mergeCell ref="B12:C12"/>
    <mergeCell ref="B13:C13"/>
    <mergeCell ref="B14:C14"/>
    <mergeCell ref="B15:C15"/>
    <mergeCell ref="B16:C16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F5"/>
  </mergeCells>
  <pageMargins left="0.28999999999999998" right="0.16" top="0.15" bottom="0.22" header="0.11" footer="0.15"/>
  <pageSetup paperSize="9" orientation="landscape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1.81640625" style="8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303" bestFit="1" customWidth="1"/>
    <col min="19" max="16384" width="9.1796875" style="77"/>
  </cols>
  <sheetData>
    <row r="1" spans="1:18" ht="14.25" customHeight="1">
      <c r="A1" s="76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6" customFormat="1" ht="12.75" customHeight="1">
      <c r="A5" s="572" t="str">
        <f>Регистрация!A3</f>
        <v>Женщины 18 +  ОК-двоеборье</v>
      </c>
      <c r="B5" s="572"/>
      <c r="C5" s="572"/>
      <c r="D5" s="572"/>
      <c r="E5" s="572"/>
      <c r="F5" s="95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5">
      <c r="A7" s="8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303"/>
    </row>
    <row r="8" spans="1:18" s="133" customFormat="1" ht="11.25" customHeight="1">
      <c r="A8" s="165"/>
      <c r="B8" s="558"/>
      <c r="C8" s="558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52"/>
      <c r="D9" s="55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3"/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 t="e">
        <f>IF(I9=0," ",CONCATENATE(VLOOKUP(I9,Регистрация!$B$7:$N$39,3,FALSE)," ",VLOOKUP(I9,Регистрация!$B$7:$N$39,4,FALSE)))</f>
        <v>#N/A</v>
      </c>
      <c r="K9" s="564" t="e">
        <f>IF(J9=0," ",CONCATENATE(VLOOKUP(J9,Регистрация!$B$7:$N$39,3,FALSE)," ",VLOOKUP(J9,Регистрация!$B$7:$N$39,4,FALSE)))</f>
        <v>#N/A</v>
      </c>
      <c r="O9" s="555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6"/>
      <c r="Q9" s="557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8"/>
      <c r="C10" s="558"/>
      <c r="D10" s="165"/>
      <c r="E10" s="306"/>
      <c r="F10" s="108"/>
      <c r="G10" s="108"/>
      <c r="H10" s="45"/>
      <c r="I10" s="569" t="s">
        <v>0</v>
      </c>
      <c r="J10" s="569"/>
      <c r="K10" s="569"/>
      <c r="O10" s="307"/>
      <c r="P10" s="165"/>
      <c r="Q10" s="304"/>
      <c r="R10" s="165"/>
    </row>
    <row r="11" spans="1:18" s="133" customFormat="1" ht="11.25" customHeight="1">
      <c r="A11" s="165"/>
      <c r="B11" s="558"/>
      <c r="C11" s="558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8"/>
      <c r="C13" s="558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165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8"/>
      <c r="C15" s="558"/>
      <c r="D15" s="165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36"/>
      <c r="L15" s="49"/>
      <c r="M15" s="312"/>
      <c r="N15" s="47"/>
      <c r="O15" s="304"/>
      <c r="P15" s="165"/>
      <c r="Q15" s="304"/>
      <c r="R15" s="165"/>
    </row>
    <row r="16" spans="1:18" ht="11.25" customHeight="1">
      <c r="A16" s="165"/>
      <c r="B16" s="558"/>
      <c r="C16" s="558"/>
      <c r="D16" s="165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98">
        <v>5</v>
      </c>
      <c r="B17" s="551" t="str">
        <f>IF(Регистрация!$D$6&lt;A17," ",CONCATENATE(VLOOKUP(A17,Регистрация!$B$7:$N$39,3,FALSE)," ",VLOOKUP(A17,Регистрация!$B$7:$N$39,4,FALSE)," ","(",VLOOKUP(A17,Регистрация!$B$7:$N$39,11,FALSE),")"))</f>
        <v>Носкова Александра (Политех)</v>
      </c>
      <c r="C17" s="552"/>
      <c r="D17" s="552" t="e">
        <f>IF(Регистрация!$D$6&lt;C17," ",CONCATENATE(VLOOKUP(C17,Регистрация!$B$7:$N$39,3,FALSE)," ",VLOOKUP(C17,Регистрация!$B$7:$N$39,4,FALSE)," ","(",VLOOKUP(C17,Регистрация!$B$7:$N$39,11,FALSE),")"))</f>
        <v>#N/A</v>
      </c>
      <c r="E17" s="553"/>
      <c r="F17" s="47"/>
      <c r="G17" s="311"/>
      <c r="H17" s="47"/>
      <c r="I17" s="311"/>
      <c r="J17" s="108"/>
      <c r="K17" s="312"/>
      <c r="L17" s="47"/>
      <c r="M17" s="312"/>
      <c r="N17" s="47"/>
      <c r="O17" s="555" t="str">
        <f>IF(Регистрация!$D$6&lt;R17," ",CONCATENATE(VLOOKUP(R17,Регистрация!$B$7:$N$39,3,FALSE)," ",VLOOKUP(R17,Регистрация!$B$7:$N$39,4,FALSE)," ","(",VLOOKUP(R17,Регистрация!$B$7:$N$39,11,FALSE),")"))</f>
        <v>Павлова Мария (Политех)</v>
      </c>
      <c r="P17" s="556"/>
      <c r="Q17" s="557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165"/>
      <c r="B18" s="558"/>
      <c r="C18" s="558"/>
      <c r="D18" s="165"/>
      <c r="E18" s="30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58"/>
      <c r="C19" s="558"/>
      <c r="D19" s="165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98">
        <v>13</v>
      </c>
      <c r="B20" s="570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0"/>
      <c r="D20" s="165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165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58"/>
      <c r="C21" s="558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79" t="str">
        <f>IF(N21=0," ",CONCATENATE(VLOOKUP(N21,Регистрация!$B$7:$N$39,3,FALSE)," ",VLOOKUP(N21,Регистрация!$B$7:$N$39,4,FALSE)))</f>
        <v xml:space="preserve"> </v>
      </c>
      <c r="P21" s="46"/>
      <c r="Q21" s="304"/>
      <c r="R21" s="165"/>
    </row>
    <row r="22" spans="1:18" ht="11.25" customHeight="1">
      <c r="A22" s="98">
        <v>21</v>
      </c>
      <c r="B22" s="570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0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22</v>
      </c>
    </row>
    <row r="23" spans="1:18" ht="11.25" customHeight="1">
      <c r="A23" s="165"/>
      <c r="B23" s="558"/>
      <c r="C23" s="558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58"/>
      <c r="C24" s="558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51" t="str">
        <f>IF(Регистрация!$D$6&lt;A25," ",CONCATENATE(VLOOKUP(A25,Регистрация!$B$7:$N$39,3,FALSE)," ",VLOOKUP(A25,Регистрация!$B$7:$N$39,4,FALSE)," ","(",VLOOKUP(A25,Регистрация!$B$7:$N$39,11,FALSE),")"))</f>
        <v>Паранина Полина (Политех)</v>
      </c>
      <c r="C25" s="552"/>
      <c r="D25" s="552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53"/>
      <c r="F25" s="47"/>
      <c r="G25" s="316"/>
      <c r="H25" s="47"/>
      <c r="I25" s="311"/>
      <c r="K25" s="312"/>
      <c r="L25" s="47"/>
      <c r="M25" s="317"/>
      <c r="N25" s="47"/>
      <c r="O25" s="555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6"/>
      <c r="Q25" s="557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58"/>
      <c r="C26" s="558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8"/>
      <c r="C27" s="558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70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0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8"/>
      <c r="C29" s="558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IF(N29=0," ",CONCATENATE(VLOOKUP(N29,Регистрация!$B$7:$N$39,3,FALSE)," ",VLOOKUP(N29,Регистрация!$B$7:$N$39,4,FALSE)))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19</v>
      </c>
      <c r="B30" s="57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0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58"/>
      <c r="C31" s="558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36"/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8"/>
      <c r="C32" s="558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1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2"/>
      <c r="D33" s="552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3"/>
      <c r="F33" s="47"/>
      <c r="G33" s="311"/>
      <c r="H33" s="144"/>
      <c r="I33" s="144"/>
      <c r="M33" s="312"/>
      <c r="N33" s="47"/>
      <c r="O33" s="555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6"/>
      <c r="Q33" s="557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58"/>
      <c r="C34" s="558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8"/>
      <c r="C35" s="558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98">
        <v>15</v>
      </c>
      <c r="B36" s="570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70"/>
      <c r="D36" s="165"/>
      <c r="E36" s="308"/>
      <c r="F36" s="144"/>
      <c r="G36" s="144"/>
      <c r="H36" s="144"/>
      <c r="I36" s="144"/>
      <c r="O36" s="323"/>
      <c r="P36" s="165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58"/>
      <c r="C37" s="558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23</v>
      </c>
      <c r="B38" s="570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70"/>
      <c r="D38" s="142"/>
      <c r="E38" s="110"/>
      <c r="F38" s="254"/>
      <c r="G38" s="254"/>
      <c r="H38" s="559"/>
      <c r="I38" s="559"/>
      <c r="J38" s="559"/>
      <c r="K38" s="559"/>
      <c r="L38" s="559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24</v>
      </c>
    </row>
    <row r="39" spans="1:18" ht="12" customHeight="1">
      <c r="A39" s="165"/>
      <c r="B39" s="558"/>
      <c r="C39" s="558"/>
      <c r="D39" s="142"/>
      <c r="E39" s="110"/>
      <c r="F39" s="254"/>
      <c r="G39" s="254"/>
      <c r="H39" s="559" t="s">
        <v>25</v>
      </c>
      <c r="I39" s="559"/>
      <c r="J39" s="559"/>
      <c r="K39" s="559"/>
      <c r="L39" s="559"/>
      <c r="Q39" s="304"/>
      <c r="R39" s="165"/>
    </row>
    <row r="40" spans="1:18" ht="12" customHeight="1">
      <c r="D40" s="178"/>
      <c r="E40" s="128"/>
      <c r="H40" s="265"/>
      <c r="J40" s="108"/>
    </row>
    <row r="41" spans="1:18" ht="12" customHeight="1">
      <c r="A41" s="560" t="s">
        <v>16</v>
      </c>
      <c r="B41" s="560"/>
      <c r="C41" s="561"/>
      <c r="D41" s="561"/>
      <c r="E41" s="561"/>
      <c r="H41" s="98">
        <f>IF(H23=0,0,IF(H23=H15,H31,))</f>
        <v>0</v>
      </c>
      <c r="I41" s="562" t="str">
        <f>IF(H41=0," ",CONCATENATE(VLOOKUP(H41,Регистрация!$B$7:$N$39,3,FALSE)," ",VLOOKUP(H41,Регистрация!$B$7:$N$39,4,FALSE)))</f>
        <v xml:space="preserve"> </v>
      </c>
      <c r="J41" s="563" t="e">
        <f>IF(I41=0," ",CONCATENATE(VLOOKUP(I41,Регистрация!$B$7:$N$39,3,FALSE)," ",VLOOKUP(I41,Регистрация!$B$7:$N$39,4,FALSE)))</f>
        <v>#N/A</v>
      </c>
      <c r="K41" s="564" t="e">
        <f>IF(J41=0," ",CONCATENATE(VLOOKUP(J41,Регистрация!$B$7:$N$39,3,FALSE)," ",VLOOKUP(J41,Регистрация!$B$7:$N$39,4,FALSE)))</f>
        <v>#N/A</v>
      </c>
    </row>
    <row r="42" spans="1:18" ht="12" customHeight="1">
      <c r="A42" s="80"/>
      <c r="B42" s="319" t="s">
        <v>28</v>
      </c>
      <c r="C42" s="573" t="s">
        <v>17</v>
      </c>
      <c r="D42" s="574"/>
      <c r="E42" s="574"/>
      <c r="F42" s="575"/>
      <c r="H42" s="165"/>
      <c r="I42" s="320"/>
      <c r="J42" s="167"/>
      <c r="K42" s="167"/>
      <c r="L42" s="46"/>
      <c r="M42" s="568" t="str">
        <f>IF(L42=0," ",CONCATENATE(VLOOKUP(L42,Регистрация!$B$7:$N$39,3,FALSE)," ",VLOOKUP(L42,Регистрация!$B$7:$N$39,4,FALSE)))</f>
        <v xml:space="preserve"> </v>
      </c>
      <c r="N42" s="568"/>
    </row>
    <row r="43" spans="1:18" ht="12" customHeight="1">
      <c r="A43" s="89">
        <f>H9</f>
        <v>0</v>
      </c>
      <c r="B43" s="97">
        <v>1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  <c r="G43" s="111"/>
      <c r="H43" s="98">
        <f>IF(L23=0,0,IF(L23=L15,L31,L15))</f>
        <v>0</v>
      </c>
      <c r="I43" s="562" t="str">
        <f>IF(H43=0," ",CONCATENATE(VLOOKUP(H43,Регистрация!$B$7:$N$39,3,FALSE)," ",VLOOKUP(H43,Регистрация!$B$7:$N$39,4,FALSE)))</f>
        <v xml:space="preserve"> </v>
      </c>
      <c r="J43" s="563" t="e">
        <f>IF(I43=0," ",CONCATENATE(VLOOKUP(I43,Регистрация!$B$7:$N$39,3,FALSE)," ",VLOOKUP(I43,Регистрация!$B$7:$N$39,4,FALSE)))</f>
        <v>#N/A</v>
      </c>
      <c r="K43" s="564" t="e">
        <f>IF(J43=0," ",CONCATENATE(VLOOKUP(J43,Регистрация!$B$7:$N$39,3,FALSE)," ",VLOOKUP(J43,Регистрация!$B$7:$N$39,4,FALSE)))</f>
        <v>#N/A</v>
      </c>
    </row>
    <row r="44" spans="1:18" ht="12" customHeight="1">
      <c r="A44" s="89">
        <f>IF(H9=0,0,IF(H9=H23,L23,H23))</f>
        <v>0</v>
      </c>
      <c r="B44" s="97">
        <v>2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2" customHeight="1">
      <c r="A45" s="89">
        <f>L42</f>
        <v>0</v>
      </c>
      <c r="B45" s="97">
        <v>3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</row>
    <row r="46" spans="1:18" s="78" customFormat="1" ht="13.5" customHeight="1">
      <c r="A46" s="89">
        <f>IF(L42=0,0,IF(L42=H41,H43,H41))</f>
        <v>0</v>
      </c>
      <c r="B46" s="97">
        <v>4</v>
      </c>
      <c r="C46" s="551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52"/>
      <c r="E46" s="552"/>
      <c r="F46" s="553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19.5" customHeight="1">
      <c r="A47" s="554" t="s">
        <v>26</v>
      </c>
      <c r="B47" s="554"/>
      <c r="C47" s="554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54" t="str">
        <f>Регистрация!N73</f>
        <v>Цыльев В.А. С1К</v>
      </c>
      <c r="P47" s="554"/>
      <c r="Q47" s="554"/>
      <c r="R47" s="322"/>
    </row>
    <row r="48" spans="1:18" s="78" customFormat="1" ht="12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">
      <c r="A49" s="554" t="s">
        <v>27</v>
      </c>
      <c r="B49" s="554"/>
      <c r="C49" s="554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54" t="str">
        <f>Регистрация!N74</f>
        <v>Орлова Е.С 3 К</v>
      </c>
      <c r="P49" s="554"/>
      <c r="Q49" s="554"/>
      <c r="R49" s="322"/>
    </row>
    <row r="50" spans="1:18" ht="13">
      <c r="A50" s="77"/>
      <c r="D50" s="77"/>
      <c r="R50" s="77"/>
    </row>
    <row r="51" spans="1:18" ht="13">
      <c r="A51" s="77"/>
      <c r="D51" s="77"/>
      <c r="R51" s="77"/>
    </row>
    <row r="52" spans="1:18" ht="13">
      <c r="A52" s="77"/>
      <c r="D52" s="77"/>
      <c r="R52" s="77"/>
    </row>
    <row r="53" spans="1:18" ht="13">
      <c r="A53" s="77"/>
      <c r="D53" s="77"/>
      <c r="R53" s="77"/>
    </row>
    <row r="54" spans="1:18" ht="13">
      <c r="A54" s="77"/>
      <c r="D54" s="77"/>
      <c r="R54" s="77"/>
    </row>
    <row r="55" spans="1:18" ht="13">
      <c r="A55" s="77"/>
      <c r="D55" s="77"/>
      <c r="R55" s="77"/>
    </row>
    <row r="56" spans="1:18" ht="13">
      <c r="A56" s="77"/>
      <c r="D56" s="77"/>
      <c r="R56" s="77"/>
    </row>
    <row r="57" spans="1:18" ht="13">
      <c r="A57" s="77"/>
      <c r="D57" s="77"/>
      <c r="R57" s="77"/>
    </row>
    <row r="58" spans="1:18" ht="13">
      <c r="A58" s="77"/>
      <c r="D58" s="77"/>
      <c r="R58" s="77"/>
    </row>
    <row r="59" spans="1:18" ht="13">
      <c r="A59" s="77"/>
      <c r="D59" s="77"/>
      <c r="R59" s="77"/>
    </row>
    <row r="60" spans="1:18" ht="13">
      <c r="A60" s="77"/>
      <c r="D60" s="77"/>
      <c r="R60" s="77"/>
    </row>
    <row r="61" spans="1:18" ht="13">
      <c r="A61" s="77"/>
      <c r="D61" s="77"/>
      <c r="R61" s="77"/>
    </row>
    <row r="62" spans="1:18" ht="13">
      <c r="A62" s="77"/>
      <c r="D62" s="77"/>
      <c r="R62" s="77"/>
    </row>
    <row r="63" spans="1:18" ht="13">
      <c r="A63" s="77"/>
      <c r="D63" s="77"/>
      <c r="R63" s="77"/>
    </row>
    <row r="64" spans="1:18" ht="13">
      <c r="A64" s="77"/>
      <c r="D64" s="77"/>
      <c r="R64" s="77"/>
    </row>
    <row r="65" spans="1:4" s="77" customFormat="1" ht="13"/>
    <row r="66" spans="1:4" s="77" customFormat="1" ht="13">
      <c r="A66" s="84"/>
      <c r="D66" s="84"/>
    </row>
  </sheetData>
  <mergeCells count="58">
    <mergeCell ref="A49:C49"/>
    <mergeCell ref="O49:Q49"/>
    <mergeCell ref="B39:C39"/>
    <mergeCell ref="H39:L39"/>
    <mergeCell ref="A41:E41"/>
    <mergeCell ref="I41:K41"/>
    <mergeCell ref="M42:N42"/>
    <mergeCell ref="I43:K43"/>
    <mergeCell ref="C43:F43"/>
    <mergeCell ref="C44:F44"/>
    <mergeCell ref="C45:F45"/>
    <mergeCell ref="C46:F46"/>
    <mergeCell ref="A47:C47"/>
    <mergeCell ref="O47:Q47"/>
    <mergeCell ref="C42:F42"/>
    <mergeCell ref="O33:Q33"/>
    <mergeCell ref="B34:C34"/>
    <mergeCell ref="B35:C35"/>
    <mergeCell ref="B36:C36"/>
    <mergeCell ref="B37:C37"/>
    <mergeCell ref="B38:C38"/>
    <mergeCell ref="H38:L38"/>
    <mergeCell ref="B28:C28"/>
    <mergeCell ref="B29:C29"/>
    <mergeCell ref="B30:C30"/>
    <mergeCell ref="B31:C31"/>
    <mergeCell ref="B32:C32"/>
    <mergeCell ref="B33:E33"/>
    <mergeCell ref="B27:C27"/>
    <mergeCell ref="O17:Q17"/>
    <mergeCell ref="B18:C18"/>
    <mergeCell ref="B19:C19"/>
    <mergeCell ref="B20:C20"/>
    <mergeCell ref="B21:C21"/>
    <mergeCell ref="B22:C22"/>
    <mergeCell ref="B17:E17"/>
    <mergeCell ref="B23:C23"/>
    <mergeCell ref="B24:C24"/>
    <mergeCell ref="B25:E25"/>
    <mergeCell ref="O25:Q25"/>
    <mergeCell ref="B26:C26"/>
    <mergeCell ref="B12:C12"/>
    <mergeCell ref="B13:C13"/>
    <mergeCell ref="B14:C14"/>
    <mergeCell ref="B15:C15"/>
    <mergeCell ref="B16:C16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</mergeCells>
  <pageMargins left="0.31" right="0.16" top="0.17" bottom="0.22" header="0.12" footer="0.15"/>
  <pageSetup paperSize="9" orientation="landscape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1.81640625" style="8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303" bestFit="1" customWidth="1"/>
    <col min="19" max="16384" width="9.1796875" style="77"/>
  </cols>
  <sheetData>
    <row r="1" spans="1:18" ht="14.25" customHeight="1">
      <c r="A1" s="76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6" customFormat="1" ht="12.75" customHeight="1">
      <c r="A5" s="572" t="str">
        <f>Регистрация!A3</f>
        <v>Женщины 18 +  ОК-двоеборье</v>
      </c>
      <c r="B5" s="572"/>
      <c r="C5" s="572"/>
      <c r="D5" s="572"/>
      <c r="E5" s="572"/>
      <c r="F5" s="95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3" t="str">
        <f>Регистрация!L3</f>
        <v>27 сентября 2025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5">
      <c r="A7" s="8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303"/>
    </row>
    <row r="8" spans="1:18" s="133" customFormat="1" ht="11.25" customHeight="1">
      <c r="A8" s="165"/>
      <c r="B8" s="558"/>
      <c r="C8" s="558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52"/>
      <c r="D9" s="55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3"/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 t="e">
        <f>IF(I9=0," ",CONCATENATE(VLOOKUP(I9,Регистрация!$B$7:$N$39,3,FALSE)," ",VLOOKUP(I9,Регистрация!$B$7:$N$39,4,FALSE)))</f>
        <v>#N/A</v>
      </c>
      <c r="K9" s="564" t="e">
        <f>IF(J9=0," ",CONCATENATE(VLOOKUP(J9,Регистрация!$B$7:$N$39,3,FALSE)," ",VLOOKUP(J9,Регистрация!$B$7:$N$39,4,FALSE)))</f>
        <v>#N/A</v>
      </c>
      <c r="O9" s="555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6"/>
      <c r="Q9" s="557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8"/>
      <c r="C10" s="558"/>
      <c r="D10" s="165"/>
      <c r="E10" s="306"/>
      <c r="F10" s="108"/>
      <c r="G10" s="108"/>
      <c r="H10" s="45"/>
      <c r="I10" s="569" t="s">
        <v>0</v>
      </c>
      <c r="J10" s="569"/>
      <c r="K10" s="569"/>
      <c r="O10" s="307"/>
      <c r="P10" s="165"/>
      <c r="Q10" s="304"/>
      <c r="R10" s="165"/>
    </row>
    <row r="11" spans="1:18" s="133" customFormat="1" ht="11.25" customHeight="1">
      <c r="A11" s="165"/>
      <c r="B11" s="558"/>
      <c r="C11" s="558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8"/>
      <c r="C13" s="558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47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165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8"/>
      <c r="C15" s="558"/>
      <c r="D15" s="47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36"/>
      <c r="L15" s="49"/>
      <c r="M15" s="312"/>
      <c r="N15" s="47"/>
      <c r="O15" s="304"/>
      <c r="P15" s="165"/>
      <c r="Q15" s="304"/>
      <c r="R15" s="165"/>
    </row>
    <row r="16" spans="1:18" ht="11.25" customHeight="1">
      <c r="A16" s="98">
        <v>5</v>
      </c>
      <c r="B16" s="570" t="str">
        <f>IF(Регистрация!$D$6&lt;A16," ",CONCATENATE(VLOOKUP(A16,Регистрация!$B$7:$N$39,3,FALSE)," ",VLOOKUP(A16,Регистрация!$B$7:$N$39,4,FALSE)," ","(",VLOOKUP(A16,Регистрация!$B$7:$N$39,11,FALSE),")"))</f>
        <v>Носкова Александра (Политех)</v>
      </c>
      <c r="C16" s="570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165"/>
      <c r="Q16" s="304"/>
      <c r="R16" s="165"/>
    </row>
    <row r="17" spans="1:18" ht="11.25" customHeight="1">
      <c r="A17" s="165"/>
      <c r="B17" s="558"/>
      <c r="C17" s="558"/>
      <c r="D17" s="46"/>
      <c r="E17" s="7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555" t="str">
        <f>IF(Регистрация!$D$6&lt;R17," ",CONCATENATE(VLOOKUP(R17,Регистрация!$B$7:$N$39,3,FALSE)," ",VLOOKUP(R17,Регистрация!$B$7:$N$39,4,FALSE)," ","(",VLOOKUP(R17,Регистрация!$B$7:$N$39,11,FALSE),")"))</f>
        <v>Павлова Мария (Политех)</v>
      </c>
      <c r="P17" s="556"/>
      <c r="Q17" s="557" t="e">
        <f>IF(Регистрация!$D$6&lt;P17," ",CONCATENATE(VLOOKUP(P17,Регистрация!$B$7:$N$39,3,FALSE)," ",VLOOKUP(P17,Регистрация!$B$7:$N$39,4,FALSE)," ","(",VLOOKUP(P17,Регистрация!$B$7:$N$39,11,FALSE),")"))</f>
        <v>#N/A</v>
      </c>
      <c r="R17" s="98">
        <v>6</v>
      </c>
    </row>
    <row r="18" spans="1:18" ht="11.25" customHeight="1">
      <c r="A18" s="98">
        <v>21</v>
      </c>
      <c r="B18" s="570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70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07"/>
      <c r="P18" s="165"/>
      <c r="Q18" s="304"/>
      <c r="R18" s="165"/>
    </row>
    <row r="19" spans="1:18" ht="11.25" customHeight="1">
      <c r="A19" s="165"/>
      <c r="B19" s="558"/>
      <c r="C19" s="558"/>
      <c r="D19" s="47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165"/>
      <c r="Q19" s="304"/>
      <c r="R19" s="165"/>
    </row>
    <row r="20" spans="1:18" ht="11.25" customHeight="1">
      <c r="A20" s="98">
        <v>13</v>
      </c>
      <c r="B20" s="570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0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165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58"/>
      <c r="C21" s="558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35"/>
      <c r="P21" s="46"/>
      <c r="Q21" s="304"/>
      <c r="R21" s="165"/>
    </row>
    <row r="22" spans="1:18" ht="11.25" customHeight="1">
      <c r="A22" s="98">
        <v>25</v>
      </c>
      <c r="B22" s="570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0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22</v>
      </c>
    </row>
    <row r="23" spans="1:18" ht="11.25" customHeight="1">
      <c r="A23" s="165"/>
      <c r="B23" s="558"/>
      <c r="C23" s="558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58"/>
      <c r="C24" s="558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51" t="str">
        <f>IF(Регистрация!$D$6&lt;A25," ",CONCATENATE(VLOOKUP(A25,Регистрация!$B$7:$N$39,3,FALSE)," ",VLOOKUP(A25,Регистрация!$B$7:$N$39,4,FALSE)," ","(",VLOOKUP(A25,Регистрация!$B$7:$N$39,11,FALSE),")"))</f>
        <v>Паранина Полина (Политех)</v>
      </c>
      <c r="C25" s="552"/>
      <c r="D25" s="552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53"/>
      <c r="F25" s="47"/>
      <c r="G25" s="316"/>
      <c r="H25" s="47"/>
      <c r="I25" s="311"/>
      <c r="K25" s="312"/>
      <c r="L25" s="47"/>
      <c r="M25" s="317"/>
      <c r="N25" s="47"/>
      <c r="O25" s="555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6"/>
      <c r="Q25" s="557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58"/>
      <c r="C26" s="558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8"/>
      <c r="C27" s="558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70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0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8"/>
      <c r="C29" s="558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35"/>
      <c r="P29" s="46"/>
      <c r="Q29" s="304"/>
      <c r="R29" s="165"/>
    </row>
    <row r="30" spans="1:18" ht="11.25" customHeight="1">
      <c r="A30" s="98">
        <v>19</v>
      </c>
      <c r="B30" s="57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0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58"/>
      <c r="C31" s="558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36"/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8"/>
      <c r="C32" s="558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1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2"/>
      <c r="D33" s="552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3"/>
      <c r="F33" s="47"/>
      <c r="G33" s="311"/>
      <c r="H33" s="144"/>
      <c r="I33" s="144"/>
      <c r="M33" s="312"/>
      <c r="N33" s="47"/>
      <c r="O33" s="555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6"/>
      <c r="Q33" s="557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58"/>
      <c r="C34" s="558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8"/>
      <c r="C35" s="558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98">
        <v>15</v>
      </c>
      <c r="B36" s="570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70"/>
      <c r="D36" s="165"/>
      <c r="E36" s="308"/>
      <c r="F36" s="144"/>
      <c r="G36" s="144"/>
      <c r="H36" s="144"/>
      <c r="I36" s="144"/>
      <c r="O36" s="323"/>
      <c r="P36" s="165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58"/>
      <c r="C37" s="558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23</v>
      </c>
      <c r="B38" s="570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70"/>
      <c r="D38" s="142"/>
      <c r="E38" s="110"/>
      <c r="F38" s="254"/>
      <c r="G38" s="254"/>
      <c r="H38" s="559"/>
      <c r="I38" s="559"/>
      <c r="J38" s="559"/>
      <c r="K38" s="559"/>
      <c r="L38" s="559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24</v>
      </c>
    </row>
    <row r="39" spans="1:18" ht="12" customHeight="1">
      <c r="A39" s="165"/>
      <c r="B39" s="558"/>
      <c r="C39" s="558"/>
      <c r="D39" s="142"/>
      <c r="E39" s="110"/>
      <c r="F39" s="254"/>
      <c r="G39" s="254"/>
      <c r="H39" s="559" t="s">
        <v>25</v>
      </c>
      <c r="I39" s="559"/>
      <c r="J39" s="559"/>
      <c r="K39" s="559"/>
      <c r="L39" s="559"/>
      <c r="Q39" s="304"/>
      <c r="R39" s="165"/>
    </row>
    <row r="40" spans="1:18" ht="12" customHeight="1">
      <c r="D40" s="178"/>
      <c r="E40" s="128"/>
      <c r="H40" s="265"/>
      <c r="J40" s="108"/>
    </row>
    <row r="41" spans="1:18" ht="11.25" customHeight="1">
      <c r="A41" s="560" t="s">
        <v>16</v>
      </c>
      <c r="B41" s="560"/>
      <c r="C41" s="561"/>
      <c r="D41" s="561"/>
      <c r="E41" s="561"/>
      <c r="H41" s="98">
        <f>IF(H23=0,0,IF(H23=H15,H31,H15))</f>
        <v>0</v>
      </c>
      <c r="I41" s="562" t="str">
        <f>IF(H41=0," ",CONCATENATE(VLOOKUP(H41,Регистрация!$B$7:$N$39,3,FALSE)," ",VLOOKUP(H41,Регистрация!$B$7:$N$39,4,FALSE)))</f>
        <v xml:space="preserve"> </v>
      </c>
      <c r="J41" s="563" t="e">
        <f>IF(I41=0," ",CONCATENATE(VLOOKUP(I41,Регистрация!$B$7:$N$39,3,FALSE)," ",VLOOKUP(I41,Регистрация!$B$7:$N$39,4,FALSE)))</f>
        <v>#N/A</v>
      </c>
      <c r="K41" s="564" t="e">
        <f>IF(J41=0," ",CONCATENATE(VLOOKUP(J41,Регистрация!$B$7:$N$39,3,FALSE)," ",VLOOKUP(J41,Регистрация!$B$7:$N$39,4,FALSE)))</f>
        <v>#N/A</v>
      </c>
    </row>
    <row r="42" spans="1:18" ht="11.25" customHeight="1">
      <c r="A42" s="80"/>
      <c r="B42" s="319" t="s">
        <v>28</v>
      </c>
      <c r="C42" s="573" t="s">
        <v>17</v>
      </c>
      <c r="D42" s="574"/>
      <c r="E42" s="574"/>
      <c r="F42" s="575"/>
      <c r="H42" s="165"/>
      <c r="I42" s="320"/>
      <c r="J42" s="167"/>
      <c r="K42" s="167"/>
      <c r="L42" s="46"/>
      <c r="M42" s="568" t="str">
        <f>IF(L42=0," ",CONCATENATE(VLOOKUP(L42,Регистрация!$B$7:$N$39,3,FALSE)," ",VLOOKUP(L42,Регистрация!$B$7:$N$39,4,FALSE)))</f>
        <v xml:space="preserve"> </v>
      </c>
      <c r="N42" s="568"/>
    </row>
    <row r="43" spans="1:18" ht="11.25" customHeight="1">
      <c r="A43" s="89">
        <f>H9</f>
        <v>0</v>
      </c>
      <c r="B43" s="97">
        <v>1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  <c r="G43" s="111"/>
      <c r="H43" s="98">
        <f>IF(L23=0,0,IF(L23=L15,L31,L15))</f>
        <v>0</v>
      </c>
      <c r="I43" s="562" t="str">
        <f>IF(H43=0," ",CONCATENATE(VLOOKUP(H43,Регистрация!$B$7:$N$39,3,FALSE)," ",VLOOKUP(H43,Регистрация!$B$7:$N$39,4,FALSE)))</f>
        <v xml:space="preserve"> </v>
      </c>
      <c r="J43" s="563" t="e">
        <f>IF(I43=0," ",CONCATENATE(VLOOKUP(I43,Регистрация!$B$7:$N$39,3,FALSE)," ",VLOOKUP(I43,Регистрация!$B$7:$N$39,4,FALSE)))</f>
        <v>#N/A</v>
      </c>
      <c r="K43" s="564" t="e">
        <f>IF(J43=0," ",CONCATENATE(VLOOKUP(J43,Регистрация!$B$7:$N$39,3,FALSE)," ",VLOOKUP(J43,Регистрация!$B$7:$N$39,4,FALSE)))</f>
        <v>#N/A</v>
      </c>
    </row>
    <row r="44" spans="1:18" ht="11.25" customHeight="1">
      <c r="A44" s="89">
        <f>IF(H9=0,0,IF(H9=H23,L23,H23))</f>
        <v>0</v>
      </c>
      <c r="B44" s="97">
        <v>2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1.25" customHeight="1">
      <c r="A45" s="89">
        <f>L42</f>
        <v>0</v>
      </c>
      <c r="B45" s="97">
        <v>3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</row>
    <row r="46" spans="1:18" s="78" customFormat="1" ht="11.25" customHeight="1">
      <c r="A46" s="89">
        <f>IF(L42=0,0,IF(L42=H41,H43,H41))</f>
        <v>0</v>
      </c>
      <c r="B46" s="97">
        <v>4</v>
      </c>
      <c r="C46" s="551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52"/>
      <c r="E46" s="552"/>
      <c r="F46" s="553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5.5" customHeight="1">
      <c r="A47" s="554" t="s">
        <v>26</v>
      </c>
      <c r="B47" s="554"/>
      <c r="C47" s="554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54" t="str">
        <f>Регистрация!N73</f>
        <v>Цыльев В.А. С1К</v>
      </c>
      <c r="P47" s="554"/>
      <c r="Q47" s="554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">
      <c r="A49" s="554" t="s">
        <v>27</v>
      </c>
      <c r="B49" s="554"/>
      <c r="C49" s="554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54" t="str">
        <f>Регистрация!N74</f>
        <v>Орлова Е.С 3 К</v>
      </c>
      <c r="P49" s="554"/>
      <c r="Q49" s="554"/>
      <c r="R49" s="322"/>
    </row>
    <row r="50" spans="1:18" ht="13">
      <c r="A50" s="77"/>
      <c r="D50" s="77"/>
      <c r="R50" s="77"/>
    </row>
    <row r="51" spans="1:18" ht="13">
      <c r="A51" s="77"/>
      <c r="D51" s="77"/>
      <c r="R51" s="77"/>
    </row>
    <row r="52" spans="1:18" ht="13">
      <c r="A52" s="77"/>
      <c r="D52" s="77"/>
      <c r="R52" s="77"/>
    </row>
    <row r="53" spans="1:18" ht="13">
      <c r="A53" s="77"/>
      <c r="D53" s="77"/>
      <c r="R53" s="77"/>
    </row>
    <row r="54" spans="1:18" ht="13">
      <c r="A54" s="77"/>
      <c r="D54" s="77"/>
      <c r="R54" s="77"/>
    </row>
    <row r="55" spans="1:18" ht="13">
      <c r="A55" s="77"/>
      <c r="D55" s="77"/>
      <c r="R55" s="77"/>
    </row>
    <row r="56" spans="1:18" ht="13">
      <c r="A56" s="77"/>
      <c r="D56" s="77"/>
      <c r="R56" s="77"/>
    </row>
    <row r="57" spans="1:18" ht="13">
      <c r="A57" s="77"/>
      <c r="D57" s="77"/>
      <c r="R57" s="77"/>
    </row>
    <row r="58" spans="1:18" ht="13">
      <c r="A58" s="77"/>
      <c r="D58" s="77"/>
      <c r="R58" s="77"/>
    </row>
    <row r="59" spans="1:18" ht="13">
      <c r="A59" s="77"/>
      <c r="D59" s="77"/>
      <c r="R59" s="77"/>
    </row>
    <row r="60" spans="1:18" ht="13">
      <c r="A60" s="77"/>
      <c r="D60" s="77"/>
      <c r="R60" s="77"/>
    </row>
    <row r="61" spans="1:18" ht="13">
      <c r="A61" s="77"/>
      <c r="D61" s="77"/>
      <c r="R61" s="77"/>
    </row>
    <row r="62" spans="1:18" ht="13">
      <c r="A62" s="77"/>
      <c r="D62" s="77"/>
      <c r="R62" s="77"/>
    </row>
    <row r="63" spans="1:18" ht="13">
      <c r="A63" s="77"/>
      <c r="D63" s="77"/>
      <c r="R63" s="77"/>
    </row>
    <row r="64" spans="1:18" ht="13">
      <c r="A64" s="77"/>
      <c r="D64" s="77"/>
      <c r="R64" s="77"/>
    </row>
    <row r="65" spans="1:4" s="77" customFormat="1" ht="13"/>
    <row r="66" spans="1:4" s="77" customFormat="1" ht="13">
      <c r="A66" s="84"/>
      <c r="D66" s="84"/>
    </row>
  </sheetData>
  <mergeCells count="58">
    <mergeCell ref="A49:C49"/>
    <mergeCell ref="O49:Q49"/>
    <mergeCell ref="B39:C39"/>
    <mergeCell ref="H39:L39"/>
    <mergeCell ref="A41:E41"/>
    <mergeCell ref="I41:K41"/>
    <mergeCell ref="M42:N42"/>
    <mergeCell ref="I43:K43"/>
    <mergeCell ref="C43:F43"/>
    <mergeCell ref="C44:F44"/>
    <mergeCell ref="C45:F45"/>
    <mergeCell ref="C46:F46"/>
    <mergeCell ref="A47:C47"/>
    <mergeCell ref="O47:Q47"/>
    <mergeCell ref="C42:F42"/>
    <mergeCell ref="O33:Q33"/>
    <mergeCell ref="B34:C34"/>
    <mergeCell ref="B35:C35"/>
    <mergeCell ref="B36:C36"/>
    <mergeCell ref="B37:C37"/>
    <mergeCell ref="B38:C38"/>
    <mergeCell ref="H38:L38"/>
    <mergeCell ref="B28:C28"/>
    <mergeCell ref="B29:C29"/>
    <mergeCell ref="B30:C30"/>
    <mergeCell ref="B31:C31"/>
    <mergeCell ref="B32:C32"/>
    <mergeCell ref="B33:E33"/>
    <mergeCell ref="B27:C27"/>
    <mergeCell ref="O17:Q17"/>
    <mergeCell ref="B18:C18"/>
    <mergeCell ref="B19:C19"/>
    <mergeCell ref="B20:C20"/>
    <mergeCell ref="B21:C21"/>
    <mergeCell ref="B22:C22"/>
    <mergeCell ref="B17:C17"/>
    <mergeCell ref="B23:C23"/>
    <mergeCell ref="B24:C24"/>
    <mergeCell ref="B25:E25"/>
    <mergeCell ref="O25:Q25"/>
    <mergeCell ref="B26:C26"/>
    <mergeCell ref="B12:C12"/>
    <mergeCell ref="B13:C13"/>
    <mergeCell ref="B14:C14"/>
    <mergeCell ref="B15:C15"/>
    <mergeCell ref="B16:C16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</mergeCells>
  <pageMargins left="0.28000000000000003" right="0.16" top="0.14000000000000001" bottom="0.19" header="0.11" footer="0.15"/>
  <pageSetup paperSize="9" orientation="landscape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1.81640625" style="8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303" bestFit="1" customWidth="1"/>
    <col min="19" max="16384" width="9.1796875" style="77"/>
  </cols>
  <sheetData>
    <row r="1" spans="1:18" ht="14.25" customHeight="1">
      <c r="A1" s="76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6" customFormat="1" ht="12.75" customHeight="1">
      <c r="A5" s="572" t="str">
        <f>Регистрация!A3</f>
        <v>Женщины 18 +  ОК-двоеборье</v>
      </c>
      <c r="B5" s="572"/>
      <c r="C5" s="572"/>
      <c r="D5" s="572"/>
      <c r="E5" s="572"/>
      <c r="F5" s="95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3" t="str">
        <f>Регистрация!L3</f>
        <v>27 сентября 2025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5">
      <c r="A7" s="8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303"/>
    </row>
    <row r="8" spans="1:18" s="133" customFormat="1" ht="11.25" customHeight="1">
      <c r="A8" s="165"/>
      <c r="B8" s="558"/>
      <c r="C8" s="558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52"/>
      <c r="D9" s="55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3"/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 t="e">
        <f>IF(I9=0," ",CONCATENATE(VLOOKUP(I9,Регистрация!$B$7:$N$39,3,FALSE)," ",VLOOKUP(I9,Регистрация!$B$7:$N$39,4,FALSE)))</f>
        <v>#N/A</v>
      </c>
      <c r="K9" s="564" t="e">
        <f>IF(J9=0," ",CONCATENATE(VLOOKUP(J9,Регистрация!$B$7:$N$39,3,FALSE)," ",VLOOKUP(J9,Регистрация!$B$7:$N$39,4,FALSE)))</f>
        <v>#N/A</v>
      </c>
      <c r="O9" s="555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6"/>
      <c r="Q9" s="557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8"/>
      <c r="C10" s="558"/>
      <c r="D10" s="165"/>
      <c r="E10" s="306"/>
      <c r="F10" s="108"/>
      <c r="G10" s="108"/>
      <c r="H10" s="45"/>
      <c r="I10" s="569" t="s">
        <v>0</v>
      </c>
      <c r="J10" s="569"/>
      <c r="K10" s="569"/>
      <c r="O10" s="307"/>
      <c r="P10" s="165"/>
      <c r="Q10" s="304"/>
      <c r="R10" s="165"/>
    </row>
    <row r="11" spans="1:18" s="133" customFormat="1" ht="11.25" customHeight="1">
      <c r="A11" s="165"/>
      <c r="B11" s="558"/>
      <c r="C11" s="558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8"/>
      <c r="C13" s="558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47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47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8"/>
      <c r="C15" s="558"/>
      <c r="D15" s="47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36"/>
      <c r="L15" s="49"/>
      <c r="M15" s="312"/>
      <c r="N15" s="47"/>
      <c r="O15" s="304"/>
      <c r="P15" s="47"/>
      <c r="Q15" s="304"/>
      <c r="R15" s="165"/>
    </row>
    <row r="16" spans="1:18" ht="11.25" customHeight="1">
      <c r="A16" s="98">
        <v>5</v>
      </c>
      <c r="B16" s="570" t="str">
        <f>IF(Регистрация!$D$6&lt;A16," ",CONCATENATE(VLOOKUP(A16,Регистрация!$B$7:$N$39,3,FALSE)," ",VLOOKUP(A16,Регистрация!$B$7:$N$39,4,FALSE)," ","(",VLOOKUP(A16,Регистрация!$B$7:$N$39,11,FALSE),")"))</f>
        <v>Носкова Александра (Политех)</v>
      </c>
      <c r="C16" s="570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47"/>
      <c r="Q16" s="35" t="str">
        <f>IF(Регистрация!$D$6&lt;R16," ",CONCATENATE(VLOOKUP(R16,Регистрация!$B$7:$N$39,3,FALSE)," ",VLOOKUP(R16,Регистрация!$B$7:$N$39,4,FALSE)," ","(",VLOOKUP(R16,Регистрация!$B$7:$N$39,11,FALSE),")"))</f>
        <v>Павлова Мария (Политех)</v>
      </c>
      <c r="R16" s="98">
        <v>6</v>
      </c>
    </row>
    <row r="17" spans="1:18" ht="11.25" customHeight="1">
      <c r="A17" s="165"/>
      <c r="B17" s="558"/>
      <c r="C17" s="558"/>
      <c r="D17" s="46"/>
      <c r="E17" s="7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79" t="str">
        <f>IF(N17=0," ",CONCATENATE(VLOOKUP(N17,Регистрация!$B$7:$N$39,3,FALSE)," ",VLOOKUP(N17,Регистрация!$B$7:$N$39,4,FALSE)))</f>
        <v xml:space="preserve"> </v>
      </c>
      <c r="P17" s="46"/>
      <c r="Q17" s="304"/>
      <c r="R17" s="165"/>
    </row>
    <row r="18" spans="1:18" ht="11.25" customHeight="1">
      <c r="A18" s="98">
        <v>21</v>
      </c>
      <c r="B18" s="570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70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27"/>
      <c r="P18" s="47"/>
      <c r="Q18" s="35" t="str">
        <f>IF(Регистрация!$D$6&lt;R18," ",CONCATENATE(VLOOKUP(R18,Регистрация!$B$7:$N$39,3,FALSE)," ",VLOOKUP(R18,Регистрация!$B$7:$N$39,4,FALSE)," ","(",VLOOKUP(R18,Регистрация!$B$7:$N$39,11,FALSE),")"))</f>
        <v xml:space="preserve"> </v>
      </c>
      <c r="R18" s="98">
        <v>22</v>
      </c>
    </row>
    <row r="19" spans="1:18" ht="11.25" customHeight="1">
      <c r="A19" s="165"/>
      <c r="B19" s="558"/>
      <c r="C19" s="558"/>
      <c r="D19" s="47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47"/>
      <c r="Q19" s="304"/>
      <c r="R19" s="165"/>
    </row>
    <row r="20" spans="1:18" ht="11.25" customHeight="1">
      <c r="A20" s="98">
        <v>13</v>
      </c>
      <c r="B20" s="570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0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47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58"/>
      <c r="C21" s="558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79" t="str">
        <f>IF(N21=0," ",CONCATENATE(VLOOKUP(N21,Регистрация!$B$7:$N$39,3,FALSE)," ",VLOOKUP(N21,Регистрация!$B$7:$N$39,4,FALSE)))</f>
        <v xml:space="preserve"> </v>
      </c>
      <c r="P21" s="46"/>
      <c r="Q21" s="304"/>
      <c r="R21" s="165"/>
    </row>
    <row r="22" spans="1:18" ht="11.25" customHeight="1">
      <c r="A22" s="98">
        <v>25</v>
      </c>
      <c r="B22" s="570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0"/>
      <c r="D22" s="165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26</v>
      </c>
    </row>
    <row r="23" spans="1:18" ht="11.25" customHeight="1">
      <c r="A23" s="165"/>
      <c r="B23" s="558"/>
      <c r="C23" s="558"/>
      <c r="D23" s="165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165"/>
      <c r="B24" s="558"/>
      <c r="C24" s="558"/>
      <c r="D24" s="165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98">
        <v>3</v>
      </c>
      <c r="B25" s="551" t="str">
        <f>IF(Регистрация!$D$6&lt;A25," ",CONCATENATE(VLOOKUP(A25,Регистрация!$B$7:$N$39,3,FALSE)," ",VLOOKUP(A25,Регистрация!$B$7:$N$39,4,FALSE)," ","(",VLOOKUP(A25,Регистрация!$B$7:$N$39,11,FALSE),")"))</f>
        <v>Паранина Полина (Политех)</v>
      </c>
      <c r="C25" s="552"/>
      <c r="D25" s="552" t="e">
        <f>IF(Регистрация!$D$6&lt;C25," ",CONCATENATE(VLOOKUP(C25,Регистрация!$B$7:$N$39,3,FALSE)," ",VLOOKUP(C25,Регистрация!$B$7:$N$39,4,FALSE)," ","(",VLOOKUP(C25,Регистрация!$B$7:$N$39,11,FALSE),")"))</f>
        <v>#N/A</v>
      </c>
      <c r="E25" s="553"/>
      <c r="F25" s="47"/>
      <c r="G25" s="316"/>
      <c r="H25" s="47"/>
      <c r="I25" s="311"/>
      <c r="K25" s="312"/>
      <c r="L25" s="47"/>
      <c r="M25" s="317"/>
      <c r="N25" s="47"/>
      <c r="O25" s="555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6"/>
      <c r="Q25" s="557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165"/>
      <c r="B26" s="558"/>
      <c r="C26" s="558"/>
      <c r="D26" s="165"/>
      <c r="E26" s="30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8"/>
      <c r="C27" s="558"/>
      <c r="D27" s="165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70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0"/>
      <c r="D28" s="165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8"/>
      <c r="C29" s="558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IF(N29=0," ",CONCATENATE(VLOOKUP(N29,Регистрация!$B$7:$N$39,3,FALSE)," ",VLOOKUP(N29,Регистрация!$B$7:$N$39,4,FALSE)))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19</v>
      </c>
      <c r="B30" s="57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0"/>
      <c r="D30" s="47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47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58"/>
      <c r="C31" s="558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36"/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8"/>
      <c r="C32" s="558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1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2"/>
      <c r="D33" s="552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3"/>
      <c r="F33" s="47"/>
      <c r="G33" s="311"/>
      <c r="H33" s="144"/>
      <c r="I33" s="144"/>
      <c r="M33" s="312"/>
      <c r="N33" s="47"/>
      <c r="O33" s="555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6"/>
      <c r="Q33" s="557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58"/>
      <c r="C34" s="558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8"/>
      <c r="C35" s="558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98">
        <v>15</v>
      </c>
      <c r="B36" s="570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70"/>
      <c r="D36" s="165"/>
      <c r="E36" s="308"/>
      <c r="F36" s="144"/>
      <c r="G36" s="144"/>
      <c r="H36" s="144"/>
      <c r="I36" s="144"/>
      <c r="O36" s="323"/>
      <c r="P36" s="165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58"/>
      <c r="C37" s="558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23</v>
      </c>
      <c r="B38" s="570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70"/>
      <c r="D38" s="142"/>
      <c r="E38" s="110"/>
      <c r="F38" s="254"/>
      <c r="G38" s="254"/>
      <c r="H38" s="559"/>
      <c r="I38" s="559"/>
      <c r="J38" s="559"/>
      <c r="K38" s="559"/>
      <c r="L38" s="559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24</v>
      </c>
    </row>
    <row r="39" spans="1:18" ht="12" customHeight="1">
      <c r="A39" s="165"/>
      <c r="B39" s="558"/>
      <c r="C39" s="558"/>
      <c r="D39" s="142"/>
      <c r="E39" s="110"/>
      <c r="F39" s="254"/>
      <c r="G39" s="254"/>
      <c r="H39" s="559" t="s">
        <v>25</v>
      </c>
      <c r="I39" s="559"/>
      <c r="J39" s="559"/>
      <c r="K39" s="559"/>
      <c r="L39" s="559"/>
      <c r="Q39" s="304"/>
      <c r="R39" s="165"/>
    </row>
    <row r="40" spans="1:18" ht="11.25" customHeight="1">
      <c r="D40" s="178"/>
      <c r="E40" s="128"/>
      <c r="H40" s="265"/>
      <c r="J40" s="108"/>
    </row>
    <row r="41" spans="1:18" ht="11.25" customHeight="1">
      <c r="A41" s="560" t="s">
        <v>16</v>
      </c>
      <c r="B41" s="560"/>
      <c r="C41" s="561"/>
      <c r="D41" s="561"/>
      <c r="E41" s="561"/>
      <c r="H41" s="98">
        <f>IF(H23=0,0,IF(H23=H15,H31,H15))</f>
        <v>0</v>
      </c>
      <c r="I41" s="562" t="str">
        <f>IF(H41=0," ",CONCATENATE(VLOOKUP(H41,Регистрация!$B$7:$N$39,3,FALSE)," ",VLOOKUP(H41,Регистрация!$B$7:$N$39,4,FALSE)))</f>
        <v xml:space="preserve"> </v>
      </c>
      <c r="J41" s="563" t="e">
        <f>IF(I41=0," ",CONCATENATE(VLOOKUP(I41,Регистрация!$B$7:$N$39,3,FALSE)," ",VLOOKUP(I41,Регистрация!$B$7:$N$39,4,FALSE)))</f>
        <v>#N/A</v>
      </c>
      <c r="K41" s="564" t="e">
        <f>IF(J41=0," ",CONCATENATE(VLOOKUP(J41,Регистрация!$B$7:$N$39,3,FALSE)," ",VLOOKUP(J41,Регистрация!$B$7:$N$39,4,FALSE)))</f>
        <v>#N/A</v>
      </c>
    </row>
    <row r="42" spans="1:18" ht="11.25" customHeight="1">
      <c r="A42" s="80"/>
      <c r="B42" s="319" t="s">
        <v>28</v>
      </c>
      <c r="C42" s="573" t="s">
        <v>17</v>
      </c>
      <c r="D42" s="574"/>
      <c r="E42" s="574"/>
      <c r="F42" s="575"/>
      <c r="H42" s="165"/>
      <c r="I42" s="320"/>
      <c r="J42" s="167"/>
      <c r="K42" s="167"/>
      <c r="L42" s="46"/>
      <c r="M42" s="568" t="str">
        <f>IF(L42=0," ",CONCATENATE(VLOOKUP(L42,Регистрация!$B$7:$N$39,3,FALSE)," ",VLOOKUP(L42,Регистрация!$B$7:$N$39,4,FALSE)))</f>
        <v xml:space="preserve"> </v>
      </c>
      <c r="N42" s="568"/>
    </row>
    <row r="43" spans="1:18" ht="11.25" customHeight="1">
      <c r="A43" s="89">
        <f>H9</f>
        <v>0</v>
      </c>
      <c r="B43" s="97">
        <v>1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  <c r="G43" s="111"/>
      <c r="H43" s="98">
        <f>IF(L23=0,0,IF(L23=L15,L31,L15))</f>
        <v>0</v>
      </c>
      <c r="I43" s="562" t="str">
        <f>IF(H43=0," ",CONCATENATE(VLOOKUP(H43,Регистрация!$B$7:$N$39,3,FALSE)," ",VLOOKUP(H43,Регистрация!$B$7:$N$39,4,FALSE)))</f>
        <v xml:space="preserve"> </v>
      </c>
      <c r="J43" s="563" t="e">
        <f>IF(I43=0," ",CONCATENATE(VLOOKUP(I43,Регистрация!$B$7:$N$39,3,FALSE)," ",VLOOKUP(I43,Регистрация!$B$7:$N$39,4,FALSE)))</f>
        <v>#N/A</v>
      </c>
      <c r="K43" s="564" t="e">
        <f>IF(J43=0," ",CONCATENATE(VLOOKUP(J43,Регистрация!$B$7:$N$39,3,FALSE)," ",VLOOKUP(J43,Регистрация!$B$7:$N$39,4,FALSE)))</f>
        <v>#N/A</v>
      </c>
    </row>
    <row r="44" spans="1:18" ht="11.25" customHeight="1">
      <c r="A44" s="89">
        <f>IF(H9=0,0,IF(H9=H23,L23,H23))</f>
        <v>0</v>
      </c>
      <c r="B44" s="97">
        <v>2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1.25" customHeight="1">
      <c r="A45" s="89">
        <f>L42</f>
        <v>0</v>
      </c>
      <c r="B45" s="97">
        <v>3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</row>
    <row r="46" spans="1:18" s="78" customFormat="1" ht="11.25" customHeight="1">
      <c r="A46" s="89">
        <f>IF(L42=0,0,IF(L42=H41,H43,H41))</f>
        <v>0</v>
      </c>
      <c r="B46" s="97">
        <v>4</v>
      </c>
      <c r="C46" s="551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52"/>
      <c r="E46" s="552"/>
      <c r="F46" s="553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5.5" customHeight="1">
      <c r="A47" s="554" t="s">
        <v>26</v>
      </c>
      <c r="B47" s="554"/>
      <c r="C47" s="554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54" t="str">
        <f>Регистрация!N73</f>
        <v>Цыльев В.А. С1К</v>
      </c>
      <c r="P47" s="554"/>
      <c r="Q47" s="554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">
      <c r="A49" s="554" t="s">
        <v>27</v>
      </c>
      <c r="B49" s="554"/>
      <c r="C49" s="554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54" t="str">
        <f>Регистрация!N74</f>
        <v>Орлова Е.С 3 К</v>
      </c>
      <c r="P49" s="554"/>
      <c r="Q49" s="554"/>
      <c r="R49" s="322"/>
    </row>
    <row r="50" spans="1:18" ht="13">
      <c r="A50" s="77"/>
      <c r="D50" s="77"/>
      <c r="R50" s="77"/>
    </row>
    <row r="51" spans="1:18" ht="13">
      <c r="A51" s="77"/>
      <c r="D51" s="77"/>
      <c r="R51" s="77"/>
    </row>
    <row r="52" spans="1:18" ht="13">
      <c r="A52" s="77"/>
      <c r="D52" s="77"/>
      <c r="R52" s="77"/>
    </row>
    <row r="53" spans="1:18" ht="13">
      <c r="A53" s="77"/>
      <c r="D53" s="77"/>
      <c r="R53" s="77"/>
    </row>
    <row r="54" spans="1:18" ht="13">
      <c r="A54" s="77"/>
      <c r="D54" s="77"/>
      <c r="R54" s="77"/>
    </row>
    <row r="55" spans="1:18" ht="13">
      <c r="A55" s="77"/>
      <c r="D55" s="77"/>
      <c r="R55" s="77"/>
    </row>
    <row r="56" spans="1:18" ht="13">
      <c r="A56" s="77"/>
      <c r="D56" s="77"/>
      <c r="R56" s="77"/>
    </row>
    <row r="57" spans="1:18" ht="13">
      <c r="A57" s="77"/>
      <c r="D57" s="77"/>
      <c r="R57" s="77"/>
    </row>
    <row r="58" spans="1:18" ht="13">
      <c r="A58" s="77"/>
      <c r="D58" s="77"/>
      <c r="R58" s="77"/>
    </row>
    <row r="59" spans="1:18" ht="13">
      <c r="A59" s="77"/>
      <c r="D59" s="77"/>
      <c r="R59" s="77"/>
    </row>
    <row r="60" spans="1:18" ht="13">
      <c r="A60" s="77"/>
      <c r="D60" s="77"/>
      <c r="R60" s="77"/>
    </row>
    <row r="61" spans="1:18" ht="13">
      <c r="A61" s="77"/>
      <c r="D61" s="77"/>
      <c r="R61" s="77"/>
    </row>
    <row r="62" spans="1:18" ht="13">
      <c r="A62" s="77"/>
      <c r="D62" s="77"/>
      <c r="R62" s="77"/>
    </row>
    <row r="63" spans="1:18" ht="13">
      <c r="A63" s="77"/>
      <c r="D63" s="77"/>
      <c r="R63" s="77"/>
    </row>
    <row r="64" spans="1:18" ht="13">
      <c r="A64" s="77"/>
      <c r="D64" s="77"/>
      <c r="R64" s="77"/>
    </row>
    <row r="65" spans="1:4" s="77" customFormat="1" ht="13"/>
    <row r="66" spans="1:4" s="77" customFormat="1" ht="13">
      <c r="A66" s="84"/>
      <c r="D66" s="84"/>
    </row>
  </sheetData>
  <mergeCells count="57">
    <mergeCell ref="A49:C49"/>
    <mergeCell ref="O49:Q49"/>
    <mergeCell ref="B39:C39"/>
    <mergeCell ref="H39:L39"/>
    <mergeCell ref="A41:E41"/>
    <mergeCell ref="I41:K41"/>
    <mergeCell ref="M42:N42"/>
    <mergeCell ref="I43:K43"/>
    <mergeCell ref="C43:F43"/>
    <mergeCell ref="C44:F44"/>
    <mergeCell ref="C45:F45"/>
    <mergeCell ref="C46:F46"/>
    <mergeCell ref="A47:C47"/>
    <mergeCell ref="O47:Q47"/>
    <mergeCell ref="C42:F42"/>
    <mergeCell ref="H38:L38"/>
    <mergeCell ref="B29:C29"/>
    <mergeCell ref="B30:C30"/>
    <mergeCell ref="B31:C31"/>
    <mergeCell ref="B32:C32"/>
    <mergeCell ref="B33:E33"/>
    <mergeCell ref="B34:C34"/>
    <mergeCell ref="B35:C35"/>
    <mergeCell ref="B36:C36"/>
    <mergeCell ref="B37:C37"/>
    <mergeCell ref="B38:C38"/>
    <mergeCell ref="O33:Q33"/>
    <mergeCell ref="B24:C24"/>
    <mergeCell ref="B25:E25"/>
    <mergeCell ref="O25:Q25"/>
    <mergeCell ref="B26:C26"/>
    <mergeCell ref="B27:C27"/>
    <mergeCell ref="B28:C28"/>
    <mergeCell ref="B23:C23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</mergeCells>
  <pageMargins left="0.33" right="0.16" top="0.14000000000000001" bottom="0.21" header="0.11" footer="0.15"/>
  <pageSetup paperSize="9" orientation="landscape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1.81640625" style="8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303" bestFit="1" customWidth="1"/>
    <col min="19" max="16384" width="9.1796875" style="77"/>
  </cols>
  <sheetData>
    <row r="1" spans="1:18" ht="14.25" customHeight="1">
      <c r="A1" s="76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6" customFormat="1" ht="12.75" customHeight="1">
      <c r="A5" s="572" t="str">
        <f>Регистрация!A3</f>
        <v>Женщины 18 +  ОК-двоеборье</v>
      </c>
      <c r="B5" s="572"/>
      <c r="C5" s="572"/>
      <c r="D5" s="572"/>
      <c r="E5" s="572"/>
      <c r="F5" s="95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5">
      <c r="A7" s="8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303"/>
    </row>
    <row r="8" spans="1:18" s="133" customFormat="1" ht="11.25" customHeight="1">
      <c r="A8" s="165"/>
      <c r="B8" s="558"/>
      <c r="C8" s="558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52"/>
      <c r="D9" s="55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3"/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 t="e">
        <f>IF(I9=0," ",CONCATENATE(VLOOKUP(I9,Регистрация!$B$7:$N$39,3,FALSE)," ",VLOOKUP(I9,Регистрация!$B$7:$N$39,4,FALSE)))</f>
        <v>#N/A</v>
      </c>
      <c r="K9" s="564" t="e">
        <f>IF(J9=0," ",CONCATENATE(VLOOKUP(J9,Регистрация!$B$7:$N$39,3,FALSE)," ",VLOOKUP(J9,Регистрация!$B$7:$N$39,4,FALSE)))</f>
        <v>#N/A</v>
      </c>
      <c r="O9" s="555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6"/>
      <c r="Q9" s="557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8"/>
      <c r="C10" s="558"/>
      <c r="D10" s="165"/>
      <c r="E10" s="306"/>
      <c r="F10" s="108"/>
      <c r="G10" s="108"/>
      <c r="H10" s="45"/>
      <c r="I10" s="569" t="s">
        <v>0</v>
      </c>
      <c r="J10" s="569"/>
      <c r="K10" s="569"/>
      <c r="O10" s="307"/>
      <c r="P10" s="165"/>
      <c r="Q10" s="304"/>
      <c r="R10" s="165"/>
    </row>
    <row r="11" spans="1:18" s="133" customFormat="1" ht="11.25" customHeight="1">
      <c r="A11" s="165"/>
      <c r="B11" s="558"/>
      <c r="C11" s="558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8"/>
      <c r="C13" s="558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47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47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8"/>
      <c r="C15" s="558"/>
      <c r="D15" s="47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IF(J15=0," ",CONCATENATE(VLOOKUP(J15,Регистрация!$B$7:$N$39,3,FALSE)," ",VLOOKUP(J15,Регистрация!$B$7:$N$39,4,FALSE)))</f>
        <v xml:space="preserve"> </v>
      </c>
      <c r="L15" s="49"/>
      <c r="M15" s="312"/>
      <c r="N15" s="47"/>
      <c r="O15" s="304"/>
      <c r="P15" s="47"/>
      <c r="Q15" s="304"/>
      <c r="R15" s="165"/>
    </row>
    <row r="16" spans="1:18" ht="11.25" customHeight="1">
      <c r="A16" s="98">
        <v>5</v>
      </c>
      <c r="B16" s="570" t="str">
        <f>IF(Регистрация!$D$6&lt;A16," ",CONCATENATE(VLOOKUP(A16,Регистрация!$B$7:$N$39,3,FALSE)," ",VLOOKUP(A16,Регистрация!$B$7:$N$39,4,FALSE)," ","(",VLOOKUP(A16,Регистрация!$B$7:$N$39,11,FALSE),")"))</f>
        <v>Носкова Александра (Политех)</v>
      </c>
      <c r="C16" s="570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47"/>
      <c r="Q16" s="35" t="str">
        <f>IF(Регистрация!$D$6&lt;R16," ",CONCATENATE(VLOOKUP(R16,Регистрация!$B$7:$N$39,3,FALSE)," ",VLOOKUP(R16,Регистрация!$B$7:$N$39,4,FALSE)," ","(",VLOOKUP(R16,Регистрация!$B$7:$N$39,11,FALSE),")"))</f>
        <v>Павлова Мария (Политех)</v>
      </c>
      <c r="R16" s="98">
        <v>6</v>
      </c>
    </row>
    <row r="17" spans="1:18" ht="11.25" customHeight="1">
      <c r="A17" s="165"/>
      <c r="B17" s="558"/>
      <c r="C17" s="558"/>
      <c r="D17" s="46"/>
      <c r="E17" s="7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35"/>
      <c r="P17" s="46"/>
      <c r="Q17" s="304"/>
      <c r="R17" s="165"/>
    </row>
    <row r="18" spans="1:18" ht="11.25" customHeight="1">
      <c r="A18" s="98">
        <v>21</v>
      </c>
      <c r="B18" s="570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70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27"/>
      <c r="P18" s="47"/>
      <c r="Q18" s="35" t="str">
        <f>IF(Регистрация!$D$6&lt;R18," ",CONCATENATE(VLOOKUP(R18,Регистрация!$B$7:$N$39,3,FALSE)," ",VLOOKUP(R18,Регистрация!$B$7:$N$39,4,FALSE)," ","(",VLOOKUP(R18,Регистрация!$B$7:$N$39,11,FALSE),")"))</f>
        <v xml:space="preserve"> </v>
      </c>
      <c r="R18" s="98">
        <v>22</v>
      </c>
    </row>
    <row r="19" spans="1:18" ht="11.25" customHeight="1">
      <c r="A19" s="165"/>
      <c r="B19" s="558"/>
      <c r="C19" s="558"/>
      <c r="D19" s="47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47"/>
      <c r="Q19" s="304"/>
      <c r="R19" s="165"/>
    </row>
    <row r="20" spans="1:18" ht="11.25" customHeight="1">
      <c r="A20" s="98">
        <v>13</v>
      </c>
      <c r="B20" s="570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0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47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58"/>
      <c r="C21" s="558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35"/>
      <c r="P21" s="46"/>
      <c r="Q21" s="304"/>
      <c r="R21" s="165"/>
    </row>
    <row r="22" spans="1:18" ht="11.25" customHeight="1">
      <c r="A22" s="98">
        <v>25</v>
      </c>
      <c r="B22" s="570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0"/>
      <c r="D22" s="47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165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26</v>
      </c>
    </row>
    <row r="23" spans="1:18" ht="11.25" customHeight="1">
      <c r="A23" s="165"/>
      <c r="B23" s="558"/>
      <c r="C23" s="558"/>
      <c r="D23" s="47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165"/>
      <c r="Q23" s="304"/>
      <c r="R23" s="165"/>
    </row>
    <row r="24" spans="1:18" ht="11.25" customHeight="1">
      <c r="A24" s="98">
        <v>3</v>
      </c>
      <c r="B24" s="570" t="str">
        <f>IF(Регистрация!$D$6&lt;A24," ",CONCATENATE(VLOOKUP(A24,Регистрация!$B$7:$N$39,3,FALSE)," ",VLOOKUP(A24,Регистрация!$B$7:$N$39,4,FALSE)," ","(",VLOOKUP(A24,Регистрация!$B$7:$N$39,11,FALSE),")"))</f>
        <v>Паранина Полина (Политех)</v>
      </c>
      <c r="C24" s="570"/>
      <c r="D24" s="47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165"/>
      <c r="Q24" s="304"/>
      <c r="R24" s="165"/>
    </row>
    <row r="25" spans="1:18" ht="11.25" customHeight="1">
      <c r="A25" s="165"/>
      <c r="B25" s="558"/>
      <c r="C25" s="558"/>
      <c r="D25" s="46"/>
      <c r="E25" s="79" t="str">
        <f>IF(D25=0," ",CONCATENATE(VLOOKUP(D25,Регистрация!$B$7:$N$39,3,FALSE)," ",VLOOKUP(D25,Регистрация!$B$7:$N$39,4,FALSE)))</f>
        <v xml:space="preserve"> </v>
      </c>
      <c r="F25" s="47"/>
      <c r="G25" s="316"/>
      <c r="H25" s="47"/>
      <c r="I25" s="311"/>
      <c r="K25" s="312"/>
      <c r="L25" s="47"/>
      <c r="M25" s="317"/>
      <c r="N25" s="47"/>
      <c r="O25" s="555" t="str">
        <f>IF(Регистрация!$D$6&lt;R25," ",CONCATENATE(VLOOKUP(R25,Регистрация!$B$7:$N$39,3,FALSE)," ",VLOOKUP(R25,Регистрация!$B$7:$N$39,4,FALSE)," ","(",VLOOKUP(R25,Регистрация!$B$7:$N$39,11,FALSE),")"))</f>
        <v>Шайдулина Алина (Политех)</v>
      </c>
      <c r="P25" s="556"/>
      <c r="Q25" s="557" t="e">
        <f>IF(Регистрация!$D$6&lt;P25," ",CONCATENATE(VLOOKUP(P25,Регистрация!$B$7:$N$39,3,FALSE)," ",VLOOKUP(P25,Регистрация!$B$7:$N$39,4,FALSE)," ","(",VLOOKUP(P25,Регистрация!$B$7:$N$39,11,FALSE),")"))</f>
        <v>#N/A</v>
      </c>
      <c r="R25" s="98">
        <v>4</v>
      </c>
    </row>
    <row r="26" spans="1:18" ht="11.25" customHeight="1">
      <c r="A26" s="98">
        <v>27</v>
      </c>
      <c r="B26" s="570" t="str">
        <f>IF(Регистрация!$D$6&lt;A26," ",CONCATENATE(VLOOKUP(A26,Регистрация!$B$7:$N$39,3,FALSE)," ",VLOOKUP(A26,Регистрация!$B$7:$N$39,4,FALSE)," ","(",VLOOKUP(A26,Регистрация!$B$7:$N$39,11,FALSE),")"))</f>
        <v xml:space="preserve"> </v>
      </c>
      <c r="C26" s="570"/>
      <c r="D26" s="47"/>
      <c r="E26" s="326"/>
      <c r="F26" s="47"/>
      <c r="G26" s="316"/>
      <c r="H26" s="47"/>
      <c r="I26" s="311"/>
      <c r="K26" s="312"/>
      <c r="L26" s="47"/>
      <c r="M26" s="317"/>
      <c r="N26" s="47"/>
      <c r="O26" s="307"/>
      <c r="P26" s="165"/>
      <c r="Q26" s="304"/>
      <c r="R26" s="165"/>
    </row>
    <row r="27" spans="1:18" ht="11.25" customHeight="1">
      <c r="A27" s="165"/>
      <c r="B27" s="558"/>
      <c r="C27" s="558"/>
      <c r="D27" s="47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165"/>
      <c r="Q27" s="304"/>
      <c r="R27" s="165"/>
    </row>
    <row r="28" spans="1:18" ht="11.25" customHeight="1">
      <c r="A28" s="98">
        <v>11</v>
      </c>
      <c r="B28" s="570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0"/>
      <c r="D28" s="47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165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8"/>
      <c r="C29" s="558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35"/>
      <c r="P29" s="46"/>
      <c r="Q29" s="304"/>
      <c r="R29" s="165"/>
    </row>
    <row r="30" spans="1:18" ht="11.25" customHeight="1">
      <c r="A30" s="98">
        <v>19</v>
      </c>
      <c r="B30" s="57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0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58"/>
      <c r="C31" s="558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IF(J31=0," ",CONCATENATE(VLOOKUP(J31,Регистрация!$B$7:$N$39,3,FALSE)," ",VLOOKUP(J31,Регистрация!$B$7:$N$39,4,FALSE)))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8"/>
      <c r="C32" s="558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1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2"/>
      <c r="D33" s="552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3"/>
      <c r="F33" s="47"/>
      <c r="G33" s="311"/>
      <c r="H33" s="144"/>
      <c r="I33" s="144"/>
      <c r="M33" s="312"/>
      <c r="N33" s="47"/>
      <c r="O33" s="555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6"/>
      <c r="Q33" s="557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58"/>
      <c r="C34" s="558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8"/>
      <c r="C35" s="558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98">
        <v>15</v>
      </c>
      <c r="B36" s="570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70"/>
      <c r="D36" s="165"/>
      <c r="E36" s="308"/>
      <c r="F36" s="144"/>
      <c r="G36" s="144"/>
      <c r="H36" s="144"/>
      <c r="I36" s="144"/>
      <c r="O36" s="323"/>
      <c r="P36" s="165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58"/>
      <c r="C37" s="558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23</v>
      </c>
      <c r="B38" s="570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70"/>
      <c r="D38" s="142"/>
      <c r="E38" s="110"/>
      <c r="F38" s="254"/>
      <c r="G38" s="254"/>
      <c r="H38" s="559"/>
      <c r="I38" s="559"/>
      <c r="J38" s="559"/>
      <c r="K38" s="559"/>
      <c r="L38" s="559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24</v>
      </c>
    </row>
    <row r="39" spans="1:18" ht="12" customHeight="1">
      <c r="A39" s="165"/>
      <c r="B39" s="558"/>
      <c r="C39" s="558"/>
      <c r="D39" s="142"/>
      <c r="E39" s="110"/>
      <c r="F39" s="254"/>
      <c r="G39" s="254"/>
      <c r="H39" s="559" t="s">
        <v>25</v>
      </c>
      <c r="I39" s="559"/>
      <c r="J39" s="559"/>
      <c r="K39" s="559"/>
      <c r="L39" s="559"/>
      <c r="Q39" s="304"/>
      <c r="R39" s="165"/>
    </row>
    <row r="40" spans="1:18" ht="12" customHeight="1">
      <c r="D40" s="178"/>
      <c r="E40" s="128"/>
      <c r="H40" s="265"/>
      <c r="J40" s="108"/>
    </row>
    <row r="41" spans="1:18" ht="12" customHeight="1">
      <c r="A41" s="560" t="s">
        <v>16</v>
      </c>
      <c r="B41" s="560"/>
      <c r="C41" s="561"/>
      <c r="D41" s="561"/>
      <c r="E41" s="561"/>
      <c r="H41" s="98">
        <f>IF(H23=0,0,IF(H23=H15,H31,H15))</f>
        <v>0</v>
      </c>
      <c r="I41" s="562" t="str">
        <f>IF(H41=0," ",CONCATENATE(VLOOKUP(H41,Регистрация!$B$7:$N$39,3,FALSE)," ",VLOOKUP(H41,Регистрация!$B$7:$N$39,4,FALSE)))</f>
        <v xml:space="preserve"> </v>
      </c>
      <c r="J41" s="563" t="e">
        <f>IF(I41=0," ",CONCATENATE(VLOOKUP(I41,Регистрация!$B$7:$N$39,3,FALSE)," ",VLOOKUP(I41,Регистрация!$B$7:$N$39,4,FALSE)))</f>
        <v>#N/A</v>
      </c>
      <c r="K41" s="564" t="e">
        <f>IF(J41=0," ",CONCATENATE(VLOOKUP(J41,Регистрация!$B$7:$N$39,3,FALSE)," ",VLOOKUP(J41,Регистрация!$B$7:$N$39,4,FALSE)))</f>
        <v>#N/A</v>
      </c>
    </row>
    <row r="42" spans="1:18" ht="12" customHeight="1">
      <c r="A42" s="80"/>
      <c r="B42" s="319" t="s">
        <v>28</v>
      </c>
      <c r="C42" s="573" t="s">
        <v>17</v>
      </c>
      <c r="D42" s="574"/>
      <c r="E42" s="574"/>
      <c r="F42" s="575"/>
      <c r="H42" s="165"/>
      <c r="I42" s="320"/>
      <c r="J42" s="167"/>
      <c r="K42" s="167"/>
      <c r="L42" s="46"/>
      <c r="M42" s="568" t="str">
        <f>IF(L42=0," ",CONCATENATE(VLOOKUP(L42,Регистрация!$B$7:$N$39,3,FALSE)," ",VLOOKUP(L42,Регистрация!$B$7:$N$39,4,FALSE)))</f>
        <v xml:space="preserve"> </v>
      </c>
      <c r="N42" s="568"/>
    </row>
    <row r="43" spans="1:18" ht="12" customHeight="1">
      <c r="A43" s="89">
        <f>H9</f>
        <v>0</v>
      </c>
      <c r="B43" s="97">
        <v>1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  <c r="G43" s="111"/>
      <c r="H43" s="98">
        <f>IF(L23=0,0,IF(L23=L15,L31,L15))</f>
        <v>0</v>
      </c>
      <c r="I43" s="562" t="str">
        <f>IF(H43=0," ",CONCATENATE(VLOOKUP(H43,Регистрация!$B$7:$N$39,3,FALSE)," ",VLOOKUP(H43,Регистрация!$B$7:$N$39,4,FALSE)))</f>
        <v xml:space="preserve"> </v>
      </c>
      <c r="J43" s="563" t="e">
        <f>IF(I43=0," ",CONCATENATE(VLOOKUP(I43,Регистрация!$B$7:$N$39,3,FALSE)," ",VLOOKUP(I43,Регистрация!$B$7:$N$39,4,FALSE)))</f>
        <v>#N/A</v>
      </c>
      <c r="K43" s="564" t="e">
        <f>IF(J43=0," ",CONCATENATE(VLOOKUP(J43,Регистрация!$B$7:$N$39,3,FALSE)," ",VLOOKUP(J43,Регистрация!$B$7:$N$39,4,FALSE)))</f>
        <v>#N/A</v>
      </c>
    </row>
    <row r="44" spans="1:18" ht="12" customHeight="1">
      <c r="A44" s="89">
        <f>IF(H90=0,0,IF(H9=H23,L23,H23))</f>
        <v>0</v>
      </c>
      <c r="B44" s="97">
        <v>2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2" customHeight="1">
      <c r="A45" s="89">
        <f>L42</f>
        <v>0</v>
      </c>
      <c r="B45" s="97">
        <v>3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</row>
    <row r="46" spans="1:18" s="78" customFormat="1" ht="12" customHeight="1">
      <c r="A46" s="89">
        <f>IF(L42=0,0,IF(L42=H41,H43,H41))</f>
        <v>0</v>
      </c>
      <c r="B46" s="97">
        <v>4</v>
      </c>
      <c r="C46" s="551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52"/>
      <c r="E46" s="552"/>
      <c r="F46" s="553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4.75" customHeight="1">
      <c r="A47" s="554" t="s">
        <v>26</v>
      </c>
      <c r="B47" s="554"/>
      <c r="C47" s="554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54" t="str">
        <f>Регистрация!N73</f>
        <v>Цыльев В.А. С1К</v>
      </c>
      <c r="P47" s="554"/>
      <c r="Q47" s="554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">
      <c r="A49" s="554" t="s">
        <v>27</v>
      </c>
      <c r="B49" s="554"/>
      <c r="C49" s="554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54" t="str">
        <f>Регистрация!N74</f>
        <v>Орлова Е.С 3 К</v>
      </c>
      <c r="P49" s="554"/>
      <c r="Q49" s="554"/>
      <c r="R49" s="322"/>
    </row>
    <row r="50" spans="1:18" ht="13">
      <c r="A50" s="77"/>
      <c r="D50" s="77"/>
      <c r="R50" s="77"/>
    </row>
    <row r="51" spans="1:18" ht="13">
      <c r="A51" s="77"/>
      <c r="D51" s="77"/>
      <c r="R51" s="77"/>
    </row>
    <row r="52" spans="1:18" ht="13">
      <c r="A52" s="77"/>
      <c r="D52" s="77"/>
      <c r="R52" s="77"/>
    </row>
    <row r="53" spans="1:18" ht="13">
      <c r="A53" s="77"/>
      <c r="D53" s="77"/>
      <c r="R53" s="77"/>
    </row>
    <row r="54" spans="1:18" ht="13">
      <c r="A54" s="77"/>
      <c r="D54" s="77"/>
      <c r="R54" s="77"/>
    </row>
    <row r="55" spans="1:18" ht="13">
      <c r="A55" s="77"/>
      <c r="D55" s="77"/>
      <c r="R55" s="77"/>
    </row>
    <row r="56" spans="1:18" ht="13">
      <c r="A56" s="77"/>
      <c r="D56" s="77"/>
      <c r="R56" s="77"/>
    </row>
    <row r="57" spans="1:18" ht="13">
      <c r="A57" s="77"/>
      <c r="D57" s="77"/>
      <c r="R57" s="77"/>
    </row>
    <row r="58" spans="1:18" ht="13">
      <c r="A58" s="77"/>
      <c r="D58" s="77"/>
      <c r="R58" s="77"/>
    </row>
    <row r="59" spans="1:18" ht="13">
      <c r="A59" s="77"/>
      <c r="D59" s="77"/>
      <c r="R59" s="77"/>
    </row>
    <row r="60" spans="1:18" ht="13">
      <c r="A60" s="77"/>
      <c r="D60" s="77"/>
      <c r="R60" s="77"/>
    </row>
    <row r="61" spans="1:18" ht="13">
      <c r="A61" s="77"/>
      <c r="D61" s="77"/>
      <c r="R61" s="77"/>
    </row>
    <row r="62" spans="1:18" ht="13">
      <c r="A62" s="77"/>
      <c r="D62" s="77"/>
      <c r="R62" s="77"/>
    </row>
    <row r="63" spans="1:18" ht="13">
      <c r="A63" s="77"/>
      <c r="D63" s="77"/>
      <c r="R63" s="77"/>
    </row>
    <row r="64" spans="1:18" ht="13">
      <c r="A64" s="77"/>
      <c r="D64" s="77"/>
      <c r="R64" s="77"/>
    </row>
    <row r="65" spans="1:4" s="77" customFormat="1" ht="13"/>
    <row r="66" spans="1:4" s="77" customFormat="1" ht="13">
      <c r="A66" s="84"/>
      <c r="D66" s="84"/>
    </row>
  </sheetData>
  <mergeCells count="57">
    <mergeCell ref="A49:C49"/>
    <mergeCell ref="O49:Q49"/>
    <mergeCell ref="B39:C39"/>
    <mergeCell ref="H39:L39"/>
    <mergeCell ref="A41:E41"/>
    <mergeCell ref="I41:K41"/>
    <mergeCell ref="M42:N42"/>
    <mergeCell ref="I43:K43"/>
    <mergeCell ref="C43:F43"/>
    <mergeCell ref="C44:F44"/>
    <mergeCell ref="C45:F45"/>
    <mergeCell ref="C46:F46"/>
    <mergeCell ref="A47:C47"/>
    <mergeCell ref="O47:Q47"/>
    <mergeCell ref="C42:F42"/>
    <mergeCell ref="H38:L38"/>
    <mergeCell ref="B29:C29"/>
    <mergeCell ref="B30:C30"/>
    <mergeCell ref="B31:C31"/>
    <mergeCell ref="B32:C32"/>
    <mergeCell ref="B33:E33"/>
    <mergeCell ref="B34:C34"/>
    <mergeCell ref="B35:C35"/>
    <mergeCell ref="B36:C36"/>
    <mergeCell ref="B37:C37"/>
    <mergeCell ref="B38:C38"/>
    <mergeCell ref="O33:Q33"/>
    <mergeCell ref="B24:C24"/>
    <mergeCell ref="B25:C25"/>
    <mergeCell ref="O25:Q25"/>
    <mergeCell ref="B26:C26"/>
    <mergeCell ref="B27:C27"/>
    <mergeCell ref="B28:C28"/>
    <mergeCell ref="B23:C23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</mergeCells>
  <pageMargins left="0.28000000000000003" right="0.16" top="0.14000000000000001" bottom="0.28000000000000003" header="0.11" footer="0.15"/>
  <pageSetup paperSize="9" orientation="landscape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1.81640625" style="8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303" bestFit="1" customWidth="1"/>
    <col min="19" max="16384" width="9.1796875" style="77"/>
  </cols>
  <sheetData>
    <row r="1" spans="1:18" ht="14.25" customHeight="1">
      <c r="A1" s="76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6" customFormat="1" ht="12.75" customHeight="1">
      <c r="A5" s="572" t="str">
        <f>Регистрация!A3</f>
        <v>Женщины 18 +  ОК-двоеборье</v>
      </c>
      <c r="B5" s="572"/>
      <c r="C5" s="572"/>
      <c r="D5" s="572"/>
      <c r="E5" s="572"/>
      <c r="F5" s="95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5">
      <c r="A7" s="8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303"/>
    </row>
    <row r="8" spans="1:18" s="133" customFormat="1" ht="11.25" customHeight="1">
      <c r="A8" s="165"/>
      <c r="B8" s="558"/>
      <c r="C8" s="558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52"/>
      <c r="D9" s="55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3"/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 t="e">
        <f>IF(I9=0," ",CONCATENATE(VLOOKUP(I9,Регистрация!$B$7:$N$39,3,FALSE)," ",VLOOKUP(I9,Регистрация!$B$7:$N$39,4,FALSE)))</f>
        <v>#N/A</v>
      </c>
      <c r="K9" s="564" t="e">
        <f>IF(J9=0," ",CONCATENATE(VLOOKUP(J9,Регистрация!$B$7:$N$39,3,FALSE)," ",VLOOKUP(J9,Регистрация!$B$7:$N$39,4,FALSE)))</f>
        <v>#N/A</v>
      </c>
      <c r="O9" s="555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6"/>
      <c r="Q9" s="557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8"/>
      <c r="C10" s="558"/>
      <c r="D10" s="165"/>
      <c r="E10" s="306"/>
      <c r="F10" s="108"/>
      <c r="G10" s="108"/>
      <c r="H10" s="45"/>
      <c r="I10" s="569" t="s">
        <v>0</v>
      </c>
      <c r="J10" s="569"/>
      <c r="K10" s="569"/>
      <c r="O10" s="307"/>
      <c r="P10" s="165"/>
      <c r="Q10" s="304"/>
      <c r="R10" s="165"/>
    </row>
    <row r="11" spans="1:18" s="133" customFormat="1" ht="11.25" customHeight="1">
      <c r="A11" s="165"/>
      <c r="B11" s="558"/>
      <c r="C11" s="558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8"/>
      <c r="C13" s="558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47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47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8"/>
      <c r="C15" s="558"/>
      <c r="D15" s="47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IF(J15=0," ",CONCATENATE(VLOOKUP(J15,Регистрация!$B$7:$N$39,3,FALSE)," ",VLOOKUP(J15,Регистрация!$B$7:$N$39,4,FALSE)))</f>
        <v xml:space="preserve"> </v>
      </c>
      <c r="L15" s="49"/>
      <c r="M15" s="312"/>
      <c r="N15" s="47"/>
      <c r="O15" s="304"/>
      <c r="P15" s="47"/>
      <c r="Q15" s="304"/>
      <c r="R15" s="165"/>
    </row>
    <row r="16" spans="1:18" ht="11.25" customHeight="1">
      <c r="A16" s="98">
        <v>5</v>
      </c>
      <c r="B16" s="570" t="str">
        <f>IF(Регистрация!$D$6&lt;A16," ",CONCATENATE(VLOOKUP(A16,Регистрация!$B$7:$N$39,3,FALSE)," ",VLOOKUP(A16,Регистрация!$B$7:$N$39,4,FALSE)," ","(",VLOOKUP(A16,Регистрация!$B$7:$N$39,11,FALSE),")"))</f>
        <v>Носкова Александра (Политех)</v>
      </c>
      <c r="C16" s="570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47"/>
      <c r="Q16" s="35" t="str">
        <f>IF(Регистрация!$D$6&lt;R16," ",CONCATENATE(VLOOKUP(R16,Регистрация!$B$7:$N$39,3,FALSE)," ",VLOOKUP(R16,Регистрация!$B$7:$N$39,4,FALSE)," ","(",VLOOKUP(R16,Регистрация!$B$7:$N$39,11,FALSE),")"))</f>
        <v>Павлова Мария (Политех)</v>
      </c>
      <c r="R16" s="98">
        <v>6</v>
      </c>
    </row>
    <row r="17" spans="1:18" ht="11.25" customHeight="1">
      <c r="A17" s="165"/>
      <c r="B17" s="558"/>
      <c r="C17" s="558"/>
      <c r="D17" s="46"/>
      <c r="E17" s="7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79" t="str">
        <f>IF(N17=0," ",CONCATENATE(VLOOKUP(N17,Регистрация!$B$7:$N$39,3,FALSE)," ",VLOOKUP(N17,Регистрация!$B$7:$N$39,4,FALSE)))</f>
        <v xml:space="preserve"> </v>
      </c>
      <c r="P17" s="46"/>
      <c r="Q17" s="304"/>
      <c r="R17" s="165"/>
    </row>
    <row r="18" spans="1:18" ht="11.25" customHeight="1">
      <c r="A18" s="98">
        <v>21</v>
      </c>
      <c r="B18" s="570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70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27"/>
      <c r="P18" s="47"/>
      <c r="Q18" s="35" t="str">
        <f>IF(Регистрация!$D$6&lt;R18," ",CONCATENATE(VLOOKUP(R18,Регистрация!$B$7:$N$39,3,FALSE)," ",VLOOKUP(R18,Регистрация!$B$7:$N$39,4,FALSE)," ","(",VLOOKUP(R18,Регистрация!$B$7:$N$39,11,FALSE),")"))</f>
        <v xml:space="preserve"> </v>
      </c>
      <c r="R18" s="98">
        <v>22</v>
      </c>
    </row>
    <row r="19" spans="1:18" ht="11.25" customHeight="1">
      <c r="A19" s="165"/>
      <c r="B19" s="558"/>
      <c r="C19" s="558"/>
      <c r="D19" s="47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47"/>
      <c r="Q19" s="304"/>
      <c r="R19" s="165"/>
    </row>
    <row r="20" spans="1:18" ht="11.25" customHeight="1">
      <c r="A20" s="98">
        <v>13</v>
      </c>
      <c r="B20" s="570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0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47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58"/>
      <c r="C21" s="558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79" t="str">
        <f>IF(N21=0," ",CONCATENATE(VLOOKUP(N21,Регистрация!$B$7:$N$39,3,FALSE)," ",VLOOKUP(N21,Регистрация!$B$7:$N$39,4,FALSE)))</f>
        <v xml:space="preserve"> </v>
      </c>
      <c r="P21" s="46"/>
      <c r="Q21" s="304"/>
      <c r="R21" s="165"/>
    </row>
    <row r="22" spans="1:18" ht="11.25" customHeight="1">
      <c r="A22" s="98">
        <v>25</v>
      </c>
      <c r="B22" s="570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0"/>
      <c r="D22" s="47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47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26</v>
      </c>
    </row>
    <row r="23" spans="1:18" ht="11.25" customHeight="1">
      <c r="A23" s="165"/>
      <c r="B23" s="558"/>
      <c r="C23" s="558"/>
      <c r="D23" s="47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47"/>
      <c r="Q23" s="304"/>
      <c r="R23" s="165"/>
    </row>
    <row r="24" spans="1:18" ht="11.25" customHeight="1">
      <c r="A24" s="98">
        <v>3</v>
      </c>
      <c r="B24" s="570" t="str">
        <f>IF(Регистрация!$D$6&lt;A24," ",CONCATENATE(VLOOKUP(A24,Регистрация!$B$7:$N$39,3,FALSE)," ",VLOOKUP(A24,Регистрация!$B$7:$N$39,4,FALSE)," ","(",VLOOKUP(A24,Регистрация!$B$7:$N$39,11,FALSE),")"))</f>
        <v>Паранина Полина (Политех)</v>
      </c>
      <c r="C24" s="570"/>
      <c r="D24" s="47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47"/>
      <c r="Q24" s="35" t="str">
        <f>IF(Регистрация!$D$6&lt;R24," ",CONCATENATE(VLOOKUP(R24,Регистрация!$B$7:$N$39,3,FALSE)," ",VLOOKUP(R24,Регистрация!$B$7:$N$39,4,FALSE)," ","(",VLOOKUP(R24,Регистрация!$B$7:$N$39,11,FALSE),")"))</f>
        <v>Шайдулина Алина (Политех)</v>
      </c>
      <c r="R24" s="98">
        <v>4</v>
      </c>
    </row>
    <row r="25" spans="1:18" ht="11.25" customHeight="1">
      <c r="A25" s="165"/>
      <c r="B25" s="558"/>
      <c r="C25" s="558"/>
      <c r="D25" s="46"/>
      <c r="E25" s="79" t="str">
        <f>IF(D25=0," ",CONCATENATE(VLOOKUP(D25,Регистрация!$B$7:$N$39,3,FALSE)," ",VLOOKUP(D25,Регистрация!$B$7:$N$39,4,FALSE)))</f>
        <v xml:space="preserve"> </v>
      </c>
      <c r="F25" s="47"/>
      <c r="G25" s="316"/>
      <c r="H25" s="47"/>
      <c r="I25" s="311"/>
      <c r="K25" s="312"/>
      <c r="L25" s="47"/>
      <c r="M25" s="317"/>
      <c r="N25" s="47"/>
      <c r="O25" s="79" t="str">
        <f>IF(N25=0," ",CONCATENATE(VLOOKUP(N25,Регистрация!$B$7:$N$39,3,FALSE)," ",VLOOKUP(N25,Регистрация!$B$7:$N$39,4,FALSE)))</f>
        <v xml:space="preserve"> </v>
      </c>
      <c r="P25" s="46"/>
      <c r="Q25" s="304"/>
      <c r="R25" s="165"/>
    </row>
    <row r="26" spans="1:18" ht="11.25" customHeight="1">
      <c r="A26" s="98">
        <v>27</v>
      </c>
      <c r="B26" s="570" t="str">
        <f>IF(Регистрация!$D$6&lt;A26," ",CONCATENATE(VLOOKUP(A26,Регистрация!$B$7:$N$39,3,FALSE)," ",VLOOKUP(A26,Регистрация!$B$7:$N$39,4,FALSE)," ","(",VLOOKUP(A26,Регистрация!$B$7:$N$39,11,FALSE),")"))</f>
        <v xml:space="preserve"> </v>
      </c>
      <c r="C26" s="570"/>
      <c r="D26" s="47"/>
      <c r="E26" s="326"/>
      <c r="F26" s="47"/>
      <c r="G26" s="316"/>
      <c r="H26" s="47"/>
      <c r="I26" s="311"/>
      <c r="K26" s="312"/>
      <c r="L26" s="47"/>
      <c r="M26" s="317"/>
      <c r="N26" s="47"/>
      <c r="O26" s="327"/>
      <c r="P26" s="47"/>
      <c r="Q26" s="35" t="str">
        <f>IF(Регистрация!$D$6&lt;R26," ",CONCATENATE(VLOOKUP(R26,Регистрация!$B$7:$N$39,3,FALSE)," ",VLOOKUP(R26,Регистрация!$B$7:$N$39,4,FALSE)," ","(",VLOOKUP(R26,Регистрация!$B$7:$N$39,11,FALSE),")"))</f>
        <v xml:space="preserve"> </v>
      </c>
      <c r="R26" s="98">
        <v>28</v>
      </c>
    </row>
    <row r="27" spans="1:18" ht="11.25" customHeight="1">
      <c r="A27" s="165"/>
      <c r="B27" s="558"/>
      <c r="C27" s="558"/>
      <c r="D27" s="47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47"/>
      <c r="Q27" s="304"/>
      <c r="R27" s="165"/>
    </row>
    <row r="28" spans="1:18" ht="11.25" customHeight="1">
      <c r="A28" s="98">
        <v>11</v>
      </c>
      <c r="B28" s="570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0"/>
      <c r="D28" s="47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47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8"/>
      <c r="C29" s="558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IF(N29=0," ",CONCATENATE(VLOOKUP(N29,Регистрация!$B$7:$N$39,3,FALSE)," ",VLOOKUP(N29,Регистрация!$B$7:$N$39,4,FALSE)))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19</v>
      </c>
      <c r="B30" s="57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0"/>
      <c r="D30" s="165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58"/>
      <c r="C31" s="558"/>
      <c r="D31" s="165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IF(J31=0," ",CONCATENATE(VLOOKUP(J31,Регистрация!$B$7:$N$39,3,FALSE)," ",VLOOKUP(J31,Регистрация!$B$7:$N$39,4,FALSE)))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165"/>
      <c r="B32" s="558"/>
      <c r="C32" s="558"/>
      <c r="D32" s="165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98">
        <v>7</v>
      </c>
      <c r="B33" s="551" t="str">
        <f>IF(Регистрация!$D$6&lt;A33," ",CONCATENATE(VLOOKUP(A33,Регистрация!$B$7:$N$39,3,FALSE)," ",VLOOKUP(A33,Регистрация!$B$7:$N$39,4,FALSE)," ","(",VLOOKUP(A33,Регистрация!$B$7:$N$39,11,FALSE),")"))</f>
        <v xml:space="preserve"> </v>
      </c>
      <c r="C33" s="552"/>
      <c r="D33" s="552" t="e">
        <f>IF(Регистрация!$D$6&lt;C33," ",CONCATENATE(VLOOKUP(C33,Регистрация!$B$7:$N$39,3,FALSE)," ",VLOOKUP(C33,Регистрация!$B$7:$N$39,4,FALSE)," ","(",VLOOKUP(C33,Регистрация!$B$7:$N$39,11,FALSE),")"))</f>
        <v>#N/A</v>
      </c>
      <c r="E33" s="553"/>
      <c r="F33" s="47"/>
      <c r="G33" s="311"/>
      <c r="H33" s="144"/>
      <c r="I33" s="144"/>
      <c r="M33" s="312"/>
      <c r="N33" s="47"/>
      <c r="O33" s="555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6"/>
      <c r="Q33" s="557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165"/>
      <c r="B34" s="558"/>
      <c r="C34" s="558"/>
      <c r="D34" s="165"/>
      <c r="E34" s="30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8"/>
      <c r="C35" s="558"/>
      <c r="D35" s="165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98">
        <v>15</v>
      </c>
      <c r="B36" s="570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70"/>
      <c r="D36" s="165"/>
      <c r="E36" s="308"/>
      <c r="F36" s="144"/>
      <c r="G36" s="144"/>
      <c r="H36" s="144"/>
      <c r="I36" s="144"/>
      <c r="O36" s="323"/>
      <c r="P36" s="165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58"/>
      <c r="C37" s="558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23</v>
      </c>
      <c r="B38" s="570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70"/>
      <c r="D38" s="142"/>
      <c r="E38" s="110"/>
      <c r="F38" s="254"/>
      <c r="G38" s="254"/>
      <c r="H38" s="559"/>
      <c r="I38" s="559"/>
      <c r="J38" s="559"/>
      <c r="K38" s="559"/>
      <c r="L38" s="559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24</v>
      </c>
    </row>
    <row r="39" spans="1:18" ht="12" customHeight="1">
      <c r="A39" s="165"/>
      <c r="B39" s="558"/>
      <c r="C39" s="558"/>
      <c r="D39" s="142"/>
      <c r="E39" s="110"/>
      <c r="F39" s="254"/>
      <c r="G39" s="254"/>
      <c r="H39" s="559" t="s">
        <v>25</v>
      </c>
      <c r="I39" s="559"/>
      <c r="J39" s="559"/>
      <c r="K39" s="559"/>
      <c r="L39" s="559"/>
      <c r="Q39" s="304"/>
      <c r="R39" s="165"/>
    </row>
    <row r="40" spans="1:18" ht="12" customHeight="1">
      <c r="D40" s="178"/>
      <c r="E40" s="128"/>
      <c r="H40" s="265"/>
      <c r="J40" s="108"/>
    </row>
    <row r="41" spans="1:18" ht="12" customHeight="1">
      <c r="A41" s="560" t="s">
        <v>16</v>
      </c>
      <c r="B41" s="560"/>
      <c r="C41" s="561"/>
      <c r="D41" s="561"/>
      <c r="E41" s="561"/>
      <c r="H41" s="98">
        <f>IF(H23=0,0,IF(H23=H15,H31,H15))</f>
        <v>0</v>
      </c>
      <c r="I41" s="562" t="str">
        <f>IF(H41=0," ",CONCATENATE(VLOOKUP(H41,Регистрация!$B$7:$N$39,3,FALSE)," ",VLOOKUP(H41,Регистрация!$B$7:$N$39,4,FALSE)))</f>
        <v xml:space="preserve"> </v>
      </c>
      <c r="J41" s="563" t="e">
        <f>IF(I41=0," ",CONCATENATE(VLOOKUP(I41,Регистрация!$B$7:$N$39,3,FALSE)," ",VLOOKUP(I41,Регистрация!$B$7:$N$39,4,FALSE)))</f>
        <v>#N/A</v>
      </c>
      <c r="K41" s="564" t="e">
        <f>IF(J41=0," ",CONCATENATE(VLOOKUP(J41,Регистрация!$B$7:$N$39,3,FALSE)," ",VLOOKUP(J41,Регистрация!$B$7:$N$39,4,FALSE)))</f>
        <v>#N/A</v>
      </c>
    </row>
    <row r="42" spans="1:18" ht="12" customHeight="1">
      <c r="A42" s="80"/>
      <c r="B42" s="319" t="s">
        <v>28</v>
      </c>
      <c r="C42" s="573" t="s">
        <v>17</v>
      </c>
      <c r="D42" s="574"/>
      <c r="E42" s="574"/>
      <c r="F42" s="575"/>
      <c r="H42" s="165"/>
      <c r="I42" s="320"/>
      <c r="J42" s="167"/>
      <c r="K42" s="167"/>
      <c r="L42" s="46"/>
      <c r="M42" s="568" t="str">
        <f>IF(L42=0," ",CONCATENATE(VLOOKUP(L42,Регистрация!$B$7:$N$39,3,FALSE)," ",VLOOKUP(L42,Регистрация!$B$7:$N$39,4,FALSE)))</f>
        <v xml:space="preserve"> </v>
      </c>
      <c r="N42" s="568"/>
    </row>
    <row r="43" spans="1:18" ht="12" customHeight="1">
      <c r="A43" s="89">
        <f>H9</f>
        <v>0</v>
      </c>
      <c r="B43" s="97">
        <v>1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  <c r="G43" s="111"/>
      <c r="H43" s="98">
        <f>IF(L23=0,0,IF(L23=L15,L31,L15))</f>
        <v>0</v>
      </c>
      <c r="I43" s="562" t="str">
        <f>IF(H43=0," ",CONCATENATE(VLOOKUP(H43,Регистрация!$B$7:$N$39,3,FALSE)," ",VLOOKUP(H43,Регистрация!$B$7:$N$39,4,FALSE)))</f>
        <v xml:space="preserve"> </v>
      </c>
      <c r="J43" s="563" t="e">
        <f>IF(I43=0," ",CONCATENATE(VLOOKUP(I43,Регистрация!$B$7:$N$39,3,FALSE)," ",VLOOKUP(I43,Регистрация!$B$7:$N$39,4,FALSE)))</f>
        <v>#N/A</v>
      </c>
      <c r="K43" s="564" t="e">
        <f>IF(J43=0," ",CONCATENATE(VLOOKUP(J43,Регистрация!$B$7:$N$39,3,FALSE)," ",VLOOKUP(J43,Регистрация!$B$7:$N$39,4,FALSE)))</f>
        <v>#N/A</v>
      </c>
    </row>
    <row r="44" spans="1:18" ht="12" customHeight="1">
      <c r="A44" s="89">
        <f>IF(H9=0,0,IF(H9=H23,L23,H23))</f>
        <v>0</v>
      </c>
      <c r="B44" s="97">
        <v>2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2" customHeight="1">
      <c r="A45" s="89">
        <f>L42</f>
        <v>0</v>
      </c>
      <c r="B45" s="97">
        <v>3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</row>
    <row r="46" spans="1:18" s="78" customFormat="1" ht="11.25" customHeight="1">
      <c r="A46" s="89">
        <f>IF(L42=0,0,IF(L42=H41,H43,H41))</f>
        <v>0</v>
      </c>
      <c r="B46" s="97">
        <v>4</v>
      </c>
      <c r="C46" s="551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52"/>
      <c r="E46" s="552"/>
      <c r="F46" s="553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7" customHeight="1">
      <c r="A47" s="554" t="s">
        <v>26</v>
      </c>
      <c r="B47" s="554"/>
      <c r="C47" s="554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54" t="str">
        <f>Регистрация!N73</f>
        <v>Цыльев В.А. С1К</v>
      </c>
      <c r="P47" s="554"/>
      <c r="Q47" s="554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">
      <c r="A49" s="554" t="s">
        <v>27</v>
      </c>
      <c r="B49" s="554"/>
      <c r="C49" s="554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54" t="str">
        <f>Регистрация!N74</f>
        <v>Орлова Е.С 3 К</v>
      </c>
      <c r="P49" s="554"/>
      <c r="Q49" s="554"/>
      <c r="R49" s="322"/>
    </row>
    <row r="50" spans="1:18" ht="13">
      <c r="A50" s="77"/>
      <c r="D50" s="77"/>
      <c r="R50" s="77"/>
    </row>
    <row r="51" spans="1:18" ht="13">
      <c r="A51" s="77"/>
      <c r="D51" s="77"/>
      <c r="R51" s="77"/>
    </row>
    <row r="52" spans="1:18" ht="13">
      <c r="A52" s="77"/>
      <c r="D52" s="77"/>
      <c r="R52" s="77"/>
    </row>
    <row r="53" spans="1:18" ht="13">
      <c r="A53" s="77"/>
      <c r="D53" s="77"/>
      <c r="R53" s="77"/>
    </row>
    <row r="54" spans="1:18" ht="13">
      <c r="A54" s="77"/>
      <c r="D54" s="77"/>
      <c r="R54" s="77"/>
    </row>
    <row r="55" spans="1:18" ht="13">
      <c r="A55" s="77"/>
      <c r="D55" s="77"/>
      <c r="R55" s="77"/>
    </row>
    <row r="56" spans="1:18" ht="13">
      <c r="A56" s="77"/>
      <c r="D56" s="77"/>
      <c r="R56" s="77"/>
    </row>
    <row r="57" spans="1:18" ht="13">
      <c r="A57" s="77"/>
      <c r="D57" s="77"/>
      <c r="R57" s="77"/>
    </row>
    <row r="58" spans="1:18" ht="13">
      <c r="A58" s="77"/>
      <c r="D58" s="77"/>
      <c r="R58" s="77"/>
    </row>
    <row r="59" spans="1:18" ht="13">
      <c r="A59" s="77"/>
      <c r="D59" s="77"/>
      <c r="R59" s="77"/>
    </row>
    <row r="60" spans="1:18" ht="13">
      <c r="A60" s="77"/>
      <c r="D60" s="77"/>
      <c r="R60" s="77"/>
    </row>
    <row r="61" spans="1:18" ht="13">
      <c r="A61" s="77"/>
      <c r="D61" s="77"/>
      <c r="R61" s="77"/>
    </row>
    <row r="62" spans="1:18" ht="13">
      <c r="A62" s="77"/>
      <c r="D62" s="77"/>
      <c r="R62" s="77"/>
    </row>
    <row r="63" spans="1:18" ht="13">
      <c r="A63" s="77"/>
      <c r="D63" s="77"/>
      <c r="R63" s="77"/>
    </row>
    <row r="64" spans="1:18" ht="13">
      <c r="A64" s="77"/>
      <c r="D64" s="77"/>
      <c r="R64" s="77"/>
    </row>
    <row r="65" spans="1:4" s="77" customFormat="1" ht="13"/>
    <row r="66" spans="1:4" s="77" customFormat="1" ht="13">
      <c r="A66" s="84"/>
      <c r="D66" s="84"/>
    </row>
  </sheetData>
  <mergeCells count="56">
    <mergeCell ref="C46:F46"/>
    <mergeCell ref="A47:C47"/>
    <mergeCell ref="O47:Q47"/>
    <mergeCell ref="A49:C49"/>
    <mergeCell ref="O49:Q49"/>
    <mergeCell ref="C45:F45"/>
    <mergeCell ref="B39:C39"/>
    <mergeCell ref="H39:L39"/>
    <mergeCell ref="A41:E41"/>
    <mergeCell ref="I41:K41"/>
    <mergeCell ref="M42:N42"/>
    <mergeCell ref="C42:F42"/>
    <mergeCell ref="C43:F43"/>
    <mergeCell ref="C44:F44"/>
    <mergeCell ref="I43:K43"/>
    <mergeCell ref="O33:Q33"/>
    <mergeCell ref="B35:C35"/>
    <mergeCell ref="B36:C36"/>
    <mergeCell ref="B37:C37"/>
    <mergeCell ref="B38:C38"/>
    <mergeCell ref="H38:L38"/>
    <mergeCell ref="B34:C34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E33"/>
    <mergeCell ref="B23:C23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</mergeCells>
  <pageMargins left="0.28999999999999998" right="0.16" top="0.15" bottom="0.22" header="0.11" footer="0.15"/>
  <pageSetup paperSize="9"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1.81640625" style="8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303" bestFit="1" customWidth="1"/>
    <col min="19" max="16384" width="9.1796875" style="77"/>
  </cols>
  <sheetData>
    <row r="1" spans="1:18" ht="14.25" customHeight="1">
      <c r="A1" s="76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6" customFormat="1" ht="12.75" customHeight="1">
      <c r="A5" s="572" t="str">
        <f>Регистрация!A3</f>
        <v>Женщины 18 +  ОК-двоеборье</v>
      </c>
      <c r="B5" s="572"/>
      <c r="C5" s="572"/>
      <c r="D5" s="572"/>
      <c r="E5" s="572"/>
      <c r="F5" s="95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5">
      <c r="A7" s="8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303"/>
    </row>
    <row r="8" spans="1:18" s="133" customFormat="1" ht="11.25" customHeight="1">
      <c r="A8" s="165"/>
      <c r="B8" s="558"/>
      <c r="C8" s="558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52"/>
      <c r="D9" s="55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3"/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 t="e">
        <f>IF(I9=0," ",CONCATENATE(VLOOKUP(I9,Регистрация!$B$7:$N$39,3,FALSE)," ",VLOOKUP(I9,Регистрация!$B$7:$N$39,4,FALSE)))</f>
        <v>#N/A</v>
      </c>
      <c r="K9" s="564" t="e">
        <f>IF(J9=0," ",CONCATENATE(VLOOKUP(J9,Регистрация!$B$7:$N$39,3,FALSE)," ",VLOOKUP(J9,Регистрация!$B$7:$N$39,4,FALSE)))</f>
        <v>#N/A</v>
      </c>
      <c r="O9" s="555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6"/>
      <c r="Q9" s="557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8"/>
      <c r="C10" s="558"/>
      <c r="D10" s="165"/>
      <c r="E10" s="306"/>
      <c r="F10" s="108"/>
      <c r="G10" s="108"/>
      <c r="H10" s="108"/>
      <c r="I10" s="569"/>
      <c r="J10" s="569"/>
      <c r="K10" s="569"/>
      <c r="O10" s="307"/>
      <c r="P10" s="165"/>
      <c r="Q10" s="304"/>
      <c r="R10" s="165"/>
    </row>
    <row r="11" spans="1:18" s="133" customFormat="1" ht="11.25" customHeight="1">
      <c r="A11" s="165"/>
      <c r="B11" s="558"/>
      <c r="C11" s="558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108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165"/>
      <c r="E12" s="308"/>
      <c r="F12" s="47"/>
      <c r="G12" s="309"/>
      <c r="H12" s="108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8"/>
      <c r="C13" s="558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108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47"/>
      <c r="E14" s="313"/>
      <c r="F14" s="47"/>
      <c r="G14" s="311"/>
      <c r="H14" s="108"/>
      <c r="I14" s="96"/>
      <c r="J14" s="96"/>
      <c r="K14" s="255"/>
      <c r="M14" s="312"/>
      <c r="N14" s="47"/>
      <c r="O14" s="304"/>
      <c r="P14" s="47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8"/>
      <c r="C15" s="558"/>
      <c r="D15" s="47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IF(J15=0," ",CONCATENATE(VLOOKUP(J15,Регистрация!$B$7:$N$39,3,FALSE)," ",VLOOKUP(J15,Регистрация!$B$7:$N$39,4,FALSE)))</f>
        <v xml:space="preserve"> </v>
      </c>
      <c r="L15" s="49"/>
      <c r="M15" s="312"/>
      <c r="N15" s="47"/>
      <c r="O15" s="304"/>
      <c r="P15" s="47"/>
      <c r="Q15" s="304"/>
      <c r="R15" s="165"/>
    </row>
    <row r="16" spans="1:18" ht="11.25" customHeight="1">
      <c r="A16" s="98">
        <v>5</v>
      </c>
      <c r="B16" s="570" t="str">
        <f>IF(Регистрация!$D$6&lt;A16," ",CONCATENATE(VLOOKUP(A16,Регистрация!$B$7:$N$39,3,FALSE)," ",VLOOKUP(A16,Регистрация!$B$7:$N$39,4,FALSE)," ","(",VLOOKUP(A16,Регистрация!$B$7:$N$39,11,FALSE),")"))</f>
        <v>Носкова Александра (Политех)</v>
      </c>
      <c r="C16" s="570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47"/>
      <c r="Q16" s="35" t="str">
        <f>IF(Регистрация!$D$6&lt;R16," ",CONCATENATE(VLOOKUP(R16,Регистрация!$B$7:$N$39,3,FALSE)," ",VLOOKUP(R16,Регистрация!$B$7:$N$39,4,FALSE)," ","(",VLOOKUP(R16,Регистрация!$B$7:$N$39,11,FALSE),")"))</f>
        <v>Павлова Мария (Политех)</v>
      </c>
      <c r="R16" s="98">
        <v>6</v>
      </c>
    </row>
    <row r="17" spans="1:18" ht="11.25" customHeight="1">
      <c r="A17" s="165"/>
      <c r="B17" s="558"/>
      <c r="C17" s="558"/>
      <c r="D17" s="46"/>
      <c r="E17" s="7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79" t="str">
        <f>IF(N17=0," ",CONCATENATE(VLOOKUP(N17,Регистрация!$B$7:$N$39,3,FALSE)," ",VLOOKUP(N17,Регистрация!$B$7:$N$39,4,FALSE)))</f>
        <v xml:space="preserve"> </v>
      </c>
      <c r="P17" s="46"/>
      <c r="Q17" s="304"/>
      <c r="R17" s="165"/>
    </row>
    <row r="18" spans="1:18" ht="11.25" customHeight="1">
      <c r="A18" s="98">
        <v>21</v>
      </c>
      <c r="B18" s="570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70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27"/>
      <c r="P18" s="47"/>
      <c r="Q18" s="35" t="str">
        <f>IF(Регистрация!$D$6&lt;R18," ",CONCATENATE(VLOOKUP(R18,Регистрация!$B$7:$N$39,3,FALSE)," ",VLOOKUP(R18,Регистрация!$B$7:$N$39,4,FALSE)," ","(",VLOOKUP(R18,Регистрация!$B$7:$N$39,11,FALSE),")"))</f>
        <v xml:space="preserve"> </v>
      </c>
      <c r="R18" s="98">
        <v>22</v>
      </c>
    </row>
    <row r="19" spans="1:18" ht="11.25" customHeight="1">
      <c r="A19" s="165"/>
      <c r="B19" s="558"/>
      <c r="C19" s="558"/>
      <c r="D19" s="47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47"/>
      <c r="Q19" s="304"/>
      <c r="R19" s="165"/>
    </row>
    <row r="20" spans="1:18" ht="11.25" customHeight="1">
      <c r="A20" s="98">
        <v>13</v>
      </c>
      <c r="B20" s="570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0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47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58"/>
      <c r="C21" s="558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79" t="str">
        <f>IF(N21=0," ",CONCATENATE(VLOOKUP(N21,Регистрация!$B$7:$N$39,3,FALSE)," ",VLOOKUP(N21,Регистрация!$B$7:$N$39,4,FALSE)))</f>
        <v xml:space="preserve"> </v>
      </c>
      <c r="P21" s="46"/>
      <c r="Q21" s="304"/>
      <c r="R21" s="165"/>
    </row>
    <row r="22" spans="1:18" ht="11.25" customHeight="1">
      <c r="A22" s="98">
        <v>25</v>
      </c>
      <c r="B22" s="570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0"/>
      <c r="D22" s="47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47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26</v>
      </c>
    </row>
    <row r="23" spans="1:18" ht="11.25" customHeight="1">
      <c r="A23" s="165"/>
      <c r="B23" s="558"/>
      <c r="C23" s="558"/>
      <c r="D23" s="47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47"/>
      <c r="Q23" s="304"/>
      <c r="R23" s="165"/>
    </row>
    <row r="24" spans="1:18" ht="11.25" customHeight="1">
      <c r="A24" s="98">
        <v>3</v>
      </c>
      <c r="B24" s="570" t="str">
        <f>IF(Регистрация!$D$6&lt;A24," ",CONCATENATE(VLOOKUP(A24,Регистрация!$B$7:$N$39,3,FALSE)," ",VLOOKUP(A24,Регистрация!$B$7:$N$39,4,FALSE)," ","(",VLOOKUP(A24,Регистрация!$B$7:$N$39,11,FALSE),")"))</f>
        <v>Паранина Полина (Политех)</v>
      </c>
      <c r="C24" s="570"/>
      <c r="D24" s="47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47"/>
      <c r="Q24" s="35" t="str">
        <f>IF(Регистрация!$D$6&lt;R24," ",CONCATENATE(VLOOKUP(R24,Регистрация!$B$7:$N$39,3,FALSE)," ",VLOOKUP(R24,Регистрация!$B$7:$N$39,4,FALSE)," ","(",VLOOKUP(R24,Регистрация!$B$7:$N$39,11,FALSE),")"))</f>
        <v>Шайдулина Алина (Политех)</v>
      </c>
      <c r="R24" s="98">
        <v>4</v>
      </c>
    </row>
    <row r="25" spans="1:18" ht="11.25" customHeight="1">
      <c r="A25" s="165"/>
      <c r="B25" s="558"/>
      <c r="C25" s="558"/>
      <c r="D25" s="46"/>
      <c r="E25" s="79" t="str">
        <f>IF(D25=0," ",CONCATENATE(VLOOKUP(D25,Регистрация!$B$7:$N$39,3,FALSE)," ",VLOOKUP(D25,Регистрация!$B$7:$N$39,4,FALSE)))</f>
        <v xml:space="preserve"> </v>
      </c>
      <c r="F25" s="47"/>
      <c r="G25" s="316"/>
      <c r="H25" s="47"/>
      <c r="I25" s="311"/>
      <c r="K25" s="312"/>
      <c r="L25" s="47"/>
      <c r="M25" s="317"/>
      <c r="N25" s="47"/>
      <c r="O25" s="79" t="str">
        <f>IF(N25=0," ",CONCATENATE(VLOOKUP(N25,Регистрация!$B$7:$N$39,3,FALSE)," ",VLOOKUP(N25,Регистрация!$B$7:$N$39,4,FALSE)))</f>
        <v xml:space="preserve"> </v>
      </c>
      <c r="P25" s="46"/>
      <c r="Q25" s="304"/>
      <c r="R25" s="165"/>
    </row>
    <row r="26" spans="1:18" ht="11.25" customHeight="1">
      <c r="A26" s="98">
        <v>19</v>
      </c>
      <c r="B26" s="570" t="str">
        <f>IF(Регистрация!$D$6&lt;A26," ",CONCATENATE(VLOOKUP(A26,Регистрация!$B$7:$N$39,3,FALSE)," ",VLOOKUP(A26,Регистрация!$B$7:$N$39,4,FALSE)," ","(",VLOOKUP(A26,Регистрация!$B$7:$N$39,11,FALSE),")"))</f>
        <v xml:space="preserve"> </v>
      </c>
      <c r="C26" s="570"/>
      <c r="D26" s="47"/>
      <c r="E26" s="326"/>
      <c r="F26" s="47"/>
      <c r="G26" s="316"/>
      <c r="H26" s="47"/>
      <c r="I26" s="311"/>
      <c r="K26" s="312"/>
      <c r="L26" s="47"/>
      <c r="M26" s="317"/>
      <c r="N26" s="47"/>
      <c r="O26" s="327"/>
      <c r="P26" s="47"/>
      <c r="Q26" s="35" t="str">
        <f>IF(Регистрация!$D$6&lt;R26," ",CONCATENATE(VLOOKUP(R26,Регистрация!$B$7:$N$39,3,FALSE)," ",VLOOKUP(R26,Регистрация!$B$7:$N$39,4,FALSE)," ","(",VLOOKUP(R26,Регистрация!$B$7:$N$39,11,FALSE),")"))</f>
        <v xml:space="preserve"> </v>
      </c>
      <c r="R26" s="98">
        <v>20</v>
      </c>
    </row>
    <row r="27" spans="1:18" ht="11.25" customHeight="1">
      <c r="A27" s="165"/>
      <c r="B27" s="558"/>
      <c r="C27" s="558"/>
      <c r="D27" s="47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47"/>
      <c r="Q27" s="304"/>
      <c r="R27" s="165"/>
    </row>
    <row r="28" spans="1:18" ht="11.25" customHeight="1">
      <c r="A28" s="98">
        <v>11</v>
      </c>
      <c r="B28" s="570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0"/>
      <c r="D28" s="47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47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8"/>
      <c r="C29" s="558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IF(N29=0," ",CONCATENATE(VLOOKUP(N29,Регистрация!$B$7:$N$39,3,FALSE)," ",VLOOKUP(N29,Регистрация!$B$7:$N$39,4,FALSE)))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29</v>
      </c>
      <c r="B30" s="57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0"/>
      <c r="D30" s="47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165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24</v>
      </c>
    </row>
    <row r="31" spans="1:18" ht="11.25" customHeight="1">
      <c r="A31" s="165"/>
      <c r="B31" s="558"/>
      <c r="C31" s="558"/>
      <c r="D31" s="47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IF(J31=0," ",CONCATENATE(VLOOKUP(J31,Регистрация!$B$7:$N$39,3,FALSE)," ",VLOOKUP(J31,Регистрация!$B$7:$N$39,4,FALSE)))</f>
        <v xml:space="preserve"> </v>
      </c>
      <c r="L31" s="49"/>
      <c r="M31" s="312"/>
      <c r="N31" s="47"/>
      <c r="O31" s="304"/>
      <c r="P31" s="165"/>
      <c r="Q31" s="304"/>
      <c r="R31" s="165"/>
    </row>
    <row r="32" spans="1:18" ht="11.25" customHeight="1">
      <c r="A32" s="98">
        <v>7</v>
      </c>
      <c r="B32" s="570" t="str">
        <f>IF(Регистрация!$D$6&lt;A32," ",CONCATENATE(VLOOKUP(A32,Регистрация!$B$7:$N$39,3,FALSE)," ",VLOOKUP(A32,Регистрация!$B$7:$N$39,4,FALSE)," ","(",VLOOKUP(A32,Регистрация!$B$7:$N$39,11,FALSE),")"))</f>
        <v xml:space="preserve"> </v>
      </c>
      <c r="C32" s="570"/>
      <c r="D32" s="47"/>
      <c r="E32" s="313"/>
      <c r="F32" s="47"/>
      <c r="G32" s="311"/>
      <c r="H32" s="144"/>
      <c r="I32" s="144"/>
      <c r="M32" s="312"/>
      <c r="N32" s="47"/>
      <c r="O32" s="304"/>
      <c r="P32" s="165"/>
      <c r="Q32" s="304"/>
      <c r="R32" s="165"/>
    </row>
    <row r="33" spans="1:18" ht="11.25" customHeight="1">
      <c r="A33" s="165"/>
      <c r="B33" s="558"/>
      <c r="C33" s="558"/>
      <c r="D33" s="46"/>
      <c r="E33" s="79" t="str">
        <f>IF(D33=0," ",CONCATENATE(VLOOKUP(D33,Регистрация!$B$7:$N$39,3,FALSE)," ",VLOOKUP(D33,Регистрация!$B$7:$N$39,4,FALSE)))</f>
        <v xml:space="preserve"> </v>
      </c>
      <c r="F33" s="47"/>
      <c r="G33" s="311"/>
      <c r="H33" s="144"/>
      <c r="I33" s="144"/>
      <c r="M33" s="312"/>
      <c r="N33" s="47"/>
      <c r="O33" s="555" t="str">
        <f>IF(Регистрация!$D$6&lt;R33," ",CONCATENATE(VLOOKUP(R33,Регистрация!$B$7:$N$39,3,FALSE)," ",VLOOKUP(R33,Регистрация!$B$7:$N$39,4,FALSE)," ","(",VLOOKUP(R33,Регистрация!$B$7:$N$39,11,FALSE),")"))</f>
        <v xml:space="preserve"> </v>
      </c>
      <c r="P33" s="556"/>
      <c r="Q33" s="557" t="e">
        <f>IF(Регистрация!$D$6&lt;P33," ",CONCATENATE(VLOOKUP(P33,Регистрация!$B$7:$N$39,3,FALSE)," ",VLOOKUP(P33,Регистрация!$B$7:$N$39,4,FALSE)," ","(",VLOOKUP(P33,Регистрация!$B$7:$N$39,11,FALSE),")"))</f>
        <v>#N/A</v>
      </c>
      <c r="R33" s="98">
        <v>8</v>
      </c>
    </row>
    <row r="34" spans="1:18" ht="11.25" customHeight="1">
      <c r="A34" s="98">
        <v>23</v>
      </c>
      <c r="B34" s="570" t="str">
        <f>IF(Регистрация!$D$6&lt;A34," ",CONCATENATE(VLOOKUP(A34,Регистрация!$B$7:$N$39,3,FALSE)," ",VLOOKUP(A34,Регистрация!$B$7:$N$39,4,FALSE)," ","(",VLOOKUP(A34,Регистрация!$B$7:$N$39,11,FALSE),")"))</f>
        <v xml:space="preserve"> </v>
      </c>
      <c r="C34" s="570"/>
      <c r="D34" s="47"/>
      <c r="E34" s="326"/>
      <c r="F34" s="47"/>
      <c r="G34" s="314"/>
      <c r="H34" s="144"/>
      <c r="I34" s="144"/>
      <c r="M34" s="315"/>
      <c r="N34" s="47"/>
      <c r="O34" s="307"/>
      <c r="P34" s="165"/>
      <c r="Q34" s="304"/>
      <c r="R34" s="165"/>
    </row>
    <row r="35" spans="1:18" ht="11.25" customHeight="1">
      <c r="A35" s="165"/>
      <c r="B35" s="558"/>
      <c r="C35" s="558"/>
      <c r="D35" s="47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165"/>
      <c r="Q35" s="304"/>
      <c r="R35" s="165"/>
    </row>
    <row r="36" spans="1:18" ht="11.25" customHeight="1">
      <c r="A36" s="98">
        <v>15</v>
      </c>
      <c r="B36" s="570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70"/>
      <c r="D36" s="47"/>
      <c r="E36" s="308"/>
      <c r="F36" s="144"/>
      <c r="G36" s="144"/>
      <c r="H36" s="144"/>
      <c r="I36" s="144"/>
      <c r="O36" s="323"/>
      <c r="P36" s="165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58"/>
      <c r="C37" s="558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27</v>
      </c>
      <c r="B38" s="570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70"/>
      <c r="D38" s="142"/>
      <c r="E38" s="110"/>
      <c r="F38" s="254"/>
      <c r="G38" s="254"/>
      <c r="H38" s="559"/>
      <c r="I38" s="559"/>
      <c r="J38" s="559"/>
      <c r="K38" s="559"/>
      <c r="L38" s="559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28</v>
      </c>
    </row>
    <row r="39" spans="1:18" ht="12" customHeight="1">
      <c r="A39" s="165"/>
      <c r="B39" s="558"/>
      <c r="C39" s="558"/>
      <c r="D39" s="142"/>
      <c r="E39" s="110"/>
      <c r="F39" s="254"/>
      <c r="G39" s="254"/>
      <c r="H39" s="559" t="s">
        <v>25</v>
      </c>
      <c r="I39" s="559"/>
      <c r="J39" s="559"/>
      <c r="K39" s="559"/>
      <c r="L39" s="559"/>
      <c r="Q39" s="304"/>
      <c r="R39" s="165"/>
    </row>
    <row r="40" spans="1:18" ht="12" customHeight="1">
      <c r="D40" s="178"/>
      <c r="E40" s="128"/>
      <c r="H40" s="265"/>
      <c r="J40" s="108"/>
    </row>
    <row r="41" spans="1:18" ht="12" customHeight="1">
      <c r="A41" s="560" t="s">
        <v>16</v>
      </c>
      <c r="B41" s="560"/>
      <c r="C41" s="561"/>
      <c r="D41" s="561"/>
      <c r="E41" s="561"/>
      <c r="H41" s="98">
        <f>IF(H23=0,0,IF(H23=H15,H31,H15))</f>
        <v>0</v>
      </c>
      <c r="I41" s="562" t="str">
        <f>IF(H41=0," ",CONCATENATE(VLOOKUP(H41,Регистрация!$B$7:$N$39,3,FALSE)," ",VLOOKUP(H41,Регистрация!$B$7:$N$39,4,FALSE)))</f>
        <v xml:space="preserve"> </v>
      </c>
      <c r="J41" s="563" t="e">
        <f>IF(I41=0," ",CONCATENATE(VLOOKUP(I41,Регистрация!$B$7:$N$39,3,FALSE)," ",VLOOKUP(I41,Регистрация!$B$7:$N$39,4,FALSE)))</f>
        <v>#N/A</v>
      </c>
      <c r="K41" s="564" t="e">
        <f>IF(J41=0," ",CONCATENATE(VLOOKUP(J41,Регистрация!$B$7:$N$39,3,FALSE)," ",VLOOKUP(J41,Регистрация!$B$7:$N$39,4,FALSE)))</f>
        <v>#N/A</v>
      </c>
    </row>
    <row r="42" spans="1:18" ht="12" customHeight="1">
      <c r="A42" s="80"/>
      <c r="B42" s="319" t="s">
        <v>28</v>
      </c>
      <c r="C42" s="573" t="s">
        <v>17</v>
      </c>
      <c r="D42" s="574"/>
      <c r="E42" s="574"/>
      <c r="F42" s="575"/>
      <c r="H42" s="165"/>
      <c r="I42" s="320"/>
      <c r="J42" s="167"/>
      <c r="K42" s="167"/>
      <c r="L42" s="46"/>
      <c r="M42" s="568" t="str">
        <f>IF(L42=0," ",CONCATENATE(VLOOKUP(L42,Регистрация!$B$7:$N$39,3,FALSE)," ",VLOOKUP(L42,Регистрация!$B$7:$N$39,4,FALSE)))</f>
        <v xml:space="preserve"> </v>
      </c>
      <c r="N42" s="568"/>
    </row>
    <row r="43" spans="1:18" ht="12" customHeight="1">
      <c r="A43" s="89">
        <f>H9</f>
        <v>0</v>
      </c>
      <c r="B43" s="97">
        <v>1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  <c r="G43" s="111"/>
      <c r="H43" s="98">
        <f>IF(L23=0,0,IF(L23=L15,L31,L15))</f>
        <v>0</v>
      </c>
      <c r="I43" s="562" t="str">
        <f>IF(H43=0," ",CONCATENATE(VLOOKUP(H43,Регистрация!$B$7:$N$39,3,FALSE)," ",VLOOKUP(H43,Регистрация!$B$7:$N$39,4,FALSE)))</f>
        <v xml:space="preserve"> </v>
      </c>
      <c r="J43" s="563" t="e">
        <f>IF(I43=0," ",CONCATENATE(VLOOKUP(I43,Регистрация!$B$7:$N$39,3,FALSE)," ",VLOOKUP(I43,Регистрация!$B$7:$N$39,4,FALSE)))</f>
        <v>#N/A</v>
      </c>
      <c r="K43" s="564" t="e">
        <f>IF(J43=0," ",CONCATENATE(VLOOKUP(J43,Регистрация!$B$7:$N$39,3,FALSE)," ",VLOOKUP(J43,Регистрация!$B$7:$N$39,4,FALSE)))</f>
        <v>#N/A</v>
      </c>
    </row>
    <row r="44" spans="1:18" ht="12" customHeight="1">
      <c r="A44" s="89">
        <f>IF(H9=0,0,IF(H9=H23,L23,H23))</f>
        <v>0</v>
      </c>
      <c r="B44" s="97">
        <v>2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2" customHeight="1">
      <c r="A45" s="89">
        <f>L42</f>
        <v>0</v>
      </c>
      <c r="B45" s="97">
        <v>3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</row>
    <row r="46" spans="1:18" s="78" customFormat="1" ht="11.25" customHeight="1">
      <c r="A46" s="89">
        <f>IF(L42=0,0,IF(L42=H41,H43,H41))</f>
        <v>0</v>
      </c>
      <c r="B46" s="97">
        <v>4</v>
      </c>
      <c r="C46" s="551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52"/>
      <c r="E46" s="552"/>
      <c r="F46" s="553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9.25" customHeight="1">
      <c r="A47" s="554" t="s">
        <v>26</v>
      </c>
      <c r="B47" s="554"/>
      <c r="C47" s="554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54" t="str">
        <f>Регистрация!N73</f>
        <v>Цыльев В.А. С1К</v>
      </c>
      <c r="P47" s="554"/>
      <c r="Q47" s="554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">
      <c r="A49" s="554" t="s">
        <v>27</v>
      </c>
      <c r="B49" s="554"/>
      <c r="C49" s="554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54" t="str">
        <f>Регистрация!N74</f>
        <v>Орлова Е.С 3 К</v>
      </c>
      <c r="P49" s="554"/>
      <c r="Q49" s="554"/>
      <c r="R49" s="322"/>
    </row>
    <row r="50" spans="1:18" ht="13">
      <c r="A50" s="77"/>
      <c r="D50" s="77"/>
      <c r="R50" s="77"/>
    </row>
    <row r="51" spans="1:18" ht="13">
      <c r="A51" s="77"/>
      <c r="D51" s="77"/>
      <c r="R51" s="77"/>
    </row>
    <row r="52" spans="1:18" ht="13">
      <c r="A52" s="77"/>
      <c r="D52" s="77"/>
      <c r="R52" s="77"/>
    </row>
    <row r="53" spans="1:18" ht="13">
      <c r="A53" s="77"/>
      <c r="D53" s="77"/>
      <c r="R53" s="77"/>
    </row>
    <row r="54" spans="1:18" ht="13">
      <c r="A54" s="77"/>
      <c r="D54" s="77"/>
      <c r="R54" s="77"/>
    </row>
    <row r="55" spans="1:18" ht="13">
      <c r="A55" s="77"/>
      <c r="D55" s="77"/>
      <c r="R55" s="77"/>
    </row>
    <row r="56" spans="1:18" ht="13">
      <c r="A56" s="77"/>
      <c r="D56" s="77"/>
      <c r="R56" s="77"/>
    </row>
    <row r="57" spans="1:18" ht="13">
      <c r="A57" s="77"/>
      <c r="D57" s="77"/>
      <c r="R57" s="77"/>
    </row>
    <row r="58" spans="1:18" ht="13">
      <c r="A58" s="77"/>
      <c r="D58" s="77"/>
      <c r="R58" s="77"/>
    </row>
    <row r="59" spans="1:18" ht="13">
      <c r="A59" s="77"/>
      <c r="D59" s="77"/>
      <c r="R59" s="77"/>
    </row>
    <row r="60" spans="1:18" ht="13">
      <c r="A60" s="77"/>
      <c r="D60" s="77"/>
      <c r="R60" s="77"/>
    </row>
    <row r="61" spans="1:18" ht="13">
      <c r="A61" s="77"/>
      <c r="D61" s="77"/>
      <c r="R61" s="77"/>
    </row>
    <row r="62" spans="1:18" ht="13">
      <c r="A62" s="77"/>
      <c r="D62" s="77"/>
      <c r="R62" s="77"/>
    </row>
    <row r="63" spans="1:18" ht="13">
      <c r="A63" s="77"/>
      <c r="D63" s="77"/>
      <c r="R63" s="77"/>
    </row>
    <row r="64" spans="1:18" ht="13">
      <c r="A64" s="77"/>
      <c r="D64" s="77"/>
      <c r="R64" s="77"/>
    </row>
    <row r="65" spans="1:4" s="77" customFormat="1" ht="13"/>
    <row r="66" spans="1:4" s="77" customFormat="1" ht="13">
      <c r="A66" s="84"/>
      <c r="D66" s="84"/>
    </row>
  </sheetData>
  <mergeCells count="56">
    <mergeCell ref="C46:F46"/>
    <mergeCell ref="A47:C47"/>
    <mergeCell ref="O47:Q47"/>
    <mergeCell ref="A49:C49"/>
    <mergeCell ref="O49:Q49"/>
    <mergeCell ref="C45:F45"/>
    <mergeCell ref="B39:C39"/>
    <mergeCell ref="H39:L39"/>
    <mergeCell ref="A41:E41"/>
    <mergeCell ref="I41:K41"/>
    <mergeCell ref="M42:N42"/>
    <mergeCell ref="C42:F42"/>
    <mergeCell ref="C43:F43"/>
    <mergeCell ref="C44:F44"/>
    <mergeCell ref="I43:K43"/>
    <mergeCell ref="O33:Q33"/>
    <mergeCell ref="B35:C35"/>
    <mergeCell ref="B36:C36"/>
    <mergeCell ref="B37:C37"/>
    <mergeCell ref="B38:C38"/>
    <mergeCell ref="H38:L38"/>
    <mergeCell ref="B34:C34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23:C23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11:C11"/>
    <mergeCell ref="B1:Q1"/>
    <mergeCell ref="B3:Q3"/>
    <mergeCell ref="G5:M5"/>
    <mergeCell ref="G7:M7"/>
    <mergeCell ref="B8:C8"/>
    <mergeCell ref="B9:E9"/>
    <mergeCell ref="I9:K9"/>
    <mergeCell ref="O9:Q9"/>
    <mergeCell ref="B10:C10"/>
    <mergeCell ref="I10:K10"/>
    <mergeCell ref="A5:E5"/>
  </mergeCells>
  <pageMargins left="0.32" right="0.16" top="0.15" bottom="0.19" header="0.11" footer="0.15"/>
  <pageSetup paperSize="9" orientation="landscape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">
    <tabColor theme="5" tint="0.79998168889431442"/>
  </sheetPr>
  <dimension ref="A1:R66"/>
  <sheetViews>
    <sheetView showGridLines="0" showZeros="0" workbookViewId="0">
      <selection activeCell="A8" sqref="A8"/>
    </sheetView>
  </sheetViews>
  <sheetFormatPr defaultColWidth="9.1796875" defaultRowHeight="11.15" customHeight="1"/>
  <cols>
    <col min="1" max="1" width="1.81640625" style="8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303" bestFit="1" customWidth="1"/>
    <col min="19" max="16384" width="9.1796875" style="77"/>
  </cols>
  <sheetData>
    <row r="1" spans="1:18" ht="14.25" customHeight="1">
      <c r="A1" s="76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6" customFormat="1" ht="12.75" customHeight="1">
      <c r="A5" s="572" t="str">
        <f>Регистрация!A3</f>
        <v>Женщины 18 +  ОК-двоеборье</v>
      </c>
      <c r="B5" s="572"/>
      <c r="C5" s="572"/>
      <c r="D5" s="572"/>
      <c r="E5" s="572"/>
      <c r="F5" s="95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5">
      <c r="A7" s="8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303"/>
    </row>
    <row r="8" spans="1:18" s="133" customFormat="1" ht="11.25" customHeight="1">
      <c r="A8" s="165"/>
      <c r="B8" s="558"/>
      <c r="C8" s="558"/>
      <c r="D8" s="84"/>
      <c r="E8" s="111"/>
      <c r="F8" s="108"/>
      <c r="G8" s="108"/>
      <c r="H8" s="108"/>
      <c r="I8" s="84"/>
      <c r="J8" s="84"/>
      <c r="K8" s="255"/>
      <c r="Q8" s="304"/>
      <c r="R8" s="165"/>
    </row>
    <row r="9" spans="1:18" s="305" customFormat="1" ht="11.25" customHeight="1">
      <c r="A9" s="98">
        <v>1</v>
      </c>
      <c r="B9" s="55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52"/>
      <c r="D9" s="55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3"/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 t="e">
        <f>IF(I9=0," ",CONCATENATE(VLOOKUP(I9,Регистрация!$B$7:$N$39,3,FALSE)," ",VLOOKUP(I9,Регистрация!$B$7:$N$39,4,FALSE)))</f>
        <v>#N/A</v>
      </c>
      <c r="K9" s="564" t="e">
        <f>IF(J9=0," ",CONCATENATE(VLOOKUP(J9,Регистрация!$B$7:$N$39,3,FALSE)," ",VLOOKUP(J9,Регистрация!$B$7:$N$39,4,FALSE)))</f>
        <v>#N/A</v>
      </c>
      <c r="O9" s="555" t="str">
        <f>IF(Регистрация!$D$6&lt;R9," ",CONCATENATE(VLOOKUP(R9,Регистрация!$B$7:$N$39,3,FALSE)," ",VLOOKUP(R9,Регистрация!$B$7:$N$39,4,FALSE)," ","(",VLOOKUP(R9,Регистрация!$B$7:$N$39,11,FALSE),")"))</f>
        <v>Хохлова Элина (WSKF)</v>
      </c>
      <c r="P9" s="556"/>
      <c r="Q9" s="557" t="e">
        <f>IF(Регистрация!$D$6&lt;P9," ",CONCATENATE(VLOOKUP(P9,Регистрация!$B$7:$N$39,3,FALSE)," ",VLOOKUP(P9,Регистрация!$B$7:$N$39,4,FALSE)," ","(",VLOOKUP(P9,Регистрация!$B$7:$N$39,11,FALSE),")"))</f>
        <v>#N/A</v>
      </c>
      <c r="R9" s="98">
        <v>2</v>
      </c>
    </row>
    <row r="10" spans="1:18" s="145" customFormat="1" ht="11.25" customHeight="1">
      <c r="A10" s="165"/>
      <c r="B10" s="558"/>
      <c r="C10" s="558"/>
      <c r="D10" s="165"/>
      <c r="E10" s="306"/>
      <c r="F10" s="108"/>
      <c r="G10" s="108"/>
      <c r="H10" s="45"/>
      <c r="I10" s="569"/>
      <c r="J10" s="569"/>
      <c r="K10" s="569"/>
      <c r="O10" s="307"/>
      <c r="P10" s="165"/>
      <c r="Q10" s="304"/>
      <c r="R10" s="165"/>
    </row>
    <row r="11" spans="1:18" s="133" customFormat="1" ht="11.25" customHeight="1">
      <c r="A11" s="165"/>
      <c r="B11" s="558"/>
      <c r="C11" s="558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165"/>
      <c r="Q11" s="304"/>
      <c r="R11" s="165"/>
    </row>
    <row r="12" spans="1:18" s="145" customFormat="1" ht="11.25" customHeight="1">
      <c r="A12" s="9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165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8"/>
      <c r="C13" s="558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47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47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8"/>
      <c r="C15" s="558"/>
      <c r="D15" s="47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IF(J15=0," ",CONCATENATE(VLOOKUP(J15,Регистрация!$B$7:$N$39,3,FALSE)," ",VLOOKUP(J15,Регистрация!$B$7:$N$39,4,FALSE)))</f>
        <v xml:space="preserve"> </v>
      </c>
      <c r="L15" s="49"/>
      <c r="M15" s="312"/>
      <c r="N15" s="47"/>
      <c r="O15" s="304"/>
      <c r="P15" s="47"/>
      <c r="Q15" s="304"/>
      <c r="R15" s="165"/>
    </row>
    <row r="16" spans="1:18" ht="11.25" customHeight="1">
      <c r="A16" s="98">
        <v>5</v>
      </c>
      <c r="B16" s="570" t="str">
        <f>IF(Регистрация!$D$6&lt;A16," ",CONCATENATE(VLOOKUP(A16,Регистрация!$B$7:$N$39,3,FALSE)," ",VLOOKUP(A16,Регистрация!$B$7:$N$39,4,FALSE)," ","(",VLOOKUP(A16,Регистрация!$B$7:$N$39,11,FALSE),")"))</f>
        <v>Носкова Александра (Политех)</v>
      </c>
      <c r="C16" s="570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47"/>
      <c r="Q16" s="35" t="str">
        <f>IF(Регистрация!$D$6&lt;R16," ",CONCATENATE(VLOOKUP(R16,Регистрация!$B$7:$N$39,3,FALSE)," ",VLOOKUP(R16,Регистрация!$B$7:$N$39,4,FALSE)," ","(",VLOOKUP(R16,Регистрация!$B$7:$N$39,11,FALSE),")"))</f>
        <v>Павлова Мария (Политех)</v>
      </c>
      <c r="R16" s="98">
        <v>6</v>
      </c>
    </row>
    <row r="17" spans="1:18" ht="11.25" customHeight="1">
      <c r="A17" s="165"/>
      <c r="B17" s="558"/>
      <c r="C17" s="558"/>
      <c r="D17" s="46"/>
      <c r="E17" s="7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79" t="str">
        <f>IF(N17=0," ",CONCATENATE(VLOOKUP(N17,Регистрация!$B$7:$N$39,3,FALSE)," ",VLOOKUP(N17,Регистрация!$B$7:$N$39,4,FALSE)))</f>
        <v xml:space="preserve"> </v>
      </c>
      <c r="P17" s="46"/>
      <c r="Q17" s="304"/>
      <c r="R17" s="165"/>
    </row>
    <row r="18" spans="1:18" ht="11.25" customHeight="1">
      <c r="A18" s="98">
        <v>21</v>
      </c>
      <c r="B18" s="570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70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27"/>
      <c r="P18" s="47"/>
      <c r="Q18" s="35" t="str">
        <f>IF(Регистрация!$D$6&lt;R18," ",CONCATENATE(VLOOKUP(R18,Регистрация!$B$7:$N$39,3,FALSE)," ",VLOOKUP(R18,Регистрация!$B$7:$N$39,4,FALSE)," ","(",VLOOKUP(R18,Регистрация!$B$7:$N$39,11,FALSE),")"))</f>
        <v xml:space="preserve"> </v>
      </c>
      <c r="R18" s="98">
        <v>22</v>
      </c>
    </row>
    <row r="19" spans="1:18" ht="11.25" customHeight="1">
      <c r="A19" s="165"/>
      <c r="B19" s="558"/>
      <c r="C19" s="558"/>
      <c r="D19" s="47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47"/>
      <c r="Q19" s="304"/>
      <c r="R19" s="165"/>
    </row>
    <row r="20" spans="1:18" ht="11.25" customHeight="1">
      <c r="A20" s="98">
        <v>13</v>
      </c>
      <c r="B20" s="570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0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47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58"/>
      <c r="C21" s="558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79" t="str">
        <f>IF(N21=0," ",CONCATENATE(VLOOKUP(N21,Регистрация!$B$7:$N$39,3,FALSE)," ",VLOOKUP(N21,Регистрация!$B$7:$N$39,4,FALSE)))</f>
        <v xml:space="preserve"> </v>
      </c>
      <c r="P21" s="46"/>
      <c r="Q21" s="304"/>
      <c r="R21" s="165"/>
    </row>
    <row r="22" spans="1:18" ht="11.25" customHeight="1">
      <c r="A22" s="98">
        <v>25</v>
      </c>
      <c r="B22" s="570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0"/>
      <c r="D22" s="47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47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26</v>
      </c>
    </row>
    <row r="23" spans="1:18" ht="11.25" customHeight="1">
      <c r="A23" s="165"/>
      <c r="B23" s="558"/>
      <c r="C23" s="558"/>
      <c r="D23" s="47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47"/>
      <c r="Q23" s="304"/>
      <c r="R23" s="165"/>
    </row>
    <row r="24" spans="1:18" ht="11.25" customHeight="1">
      <c r="A24" s="98">
        <v>3</v>
      </c>
      <c r="B24" s="570" t="str">
        <f>IF(Регистрация!$D$6&lt;A24," ",CONCATENATE(VLOOKUP(A24,Регистрация!$B$7:$N$39,3,FALSE)," ",VLOOKUP(A24,Регистрация!$B$7:$N$39,4,FALSE)," ","(",VLOOKUP(A24,Регистрация!$B$7:$N$39,11,FALSE),")"))</f>
        <v>Паранина Полина (Политех)</v>
      </c>
      <c r="C24" s="570"/>
      <c r="D24" s="47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47"/>
      <c r="Q24" s="35" t="str">
        <f>IF(Регистрация!$D$6&lt;R24," ",CONCATENATE(VLOOKUP(R24,Регистрация!$B$7:$N$39,3,FALSE)," ",VLOOKUP(R24,Регистрация!$B$7:$N$39,4,FALSE)," ","(",VLOOKUP(R24,Регистрация!$B$7:$N$39,11,FALSE),")"))</f>
        <v>Шайдулина Алина (Политех)</v>
      </c>
      <c r="R24" s="98">
        <v>4</v>
      </c>
    </row>
    <row r="25" spans="1:18" ht="11.25" customHeight="1">
      <c r="A25" s="165"/>
      <c r="B25" s="558"/>
      <c r="C25" s="558"/>
      <c r="D25" s="46"/>
      <c r="E25" s="79" t="str">
        <f>IF(D25=0," ",CONCATENATE(VLOOKUP(D25,Регистрация!$B$7:$N$39,3,FALSE)," ",VLOOKUP(D25,Регистрация!$B$7:$N$39,4,FALSE)))</f>
        <v xml:space="preserve"> </v>
      </c>
      <c r="F25" s="47"/>
      <c r="G25" s="316"/>
      <c r="H25" s="47"/>
      <c r="I25" s="311"/>
      <c r="K25" s="312"/>
      <c r="L25" s="47"/>
      <c r="M25" s="317"/>
      <c r="N25" s="47"/>
      <c r="O25" s="79" t="str">
        <f>IF(N25=0," ",CONCATENATE(VLOOKUP(N25,Регистрация!$B$7:$N$39,3,FALSE)," ",VLOOKUP(N25,Регистрация!$B$7:$N$39,4,FALSE)))</f>
        <v xml:space="preserve"> </v>
      </c>
      <c r="P25" s="46"/>
      <c r="Q25" s="304"/>
      <c r="R25" s="165"/>
    </row>
    <row r="26" spans="1:18" ht="11.25" customHeight="1">
      <c r="A26" s="98">
        <v>27</v>
      </c>
      <c r="B26" s="570" t="str">
        <f>IF(Регистрация!$D$6&lt;A26," ",CONCATENATE(VLOOKUP(A26,Регистрация!$B$7:$N$39,3,FALSE)," ",VLOOKUP(A26,Регистрация!$B$7:$N$39,4,FALSE)," ","(",VLOOKUP(A26,Регистрация!$B$7:$N$39,11,FALSE),")"))</f>
        <v xml:space="preserve"> </v>
      </c>
      <c r="C26" s="570"/>
      <c r="D26" s="47"/>
      <c r="E26" s="326"/>
      <c r="F26" s="47"/>
      <c r="G26" s="316"/>
      <c r="H26" s="47"/>
      <c r="I26" s="311"/>
      <c r="K26" s="312"/>
      <c r="L26" s="47"/>
      <c r="M26" s="317"/>
      <c r="N26" s="47"/>
      <c r="O26" s="327"/>
      <c r="P26" s="47"/>
      <c r="Q26" s="35" t="str">
        <f>IF(Регистрация!$D$6&lt;R26," ",CONCATENATE(VLOOKUP(R26,Регистрация!$B$7:$N$39,3,FALSE)," ",VLOOKUP(R26,Регистрация!$B$7:$N$39,4,FALSE)," ","(",VLOOKUP(R26,Регистрация!$B$7:$N$39,11,FALSE),")"))</f>
        <v xml:space="preserve"> </v>
      </c>
      <c r="R26" s="98">
        <v>28</v>
      </c>
    </row>
    <row r="27" spans="1:18" ht="11.25" customHeight="1">
      <c r="A27" s="165"/>
      <c r="B27" s="558"/>
      <c r="C27" s="558"/>
      <c r="D27" s="47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47"/>
      <c r="Q27" s="304"/>
      <c r="R27" s="165"/>
    </row>
    <row r="28" spans="1:18" ht="11.25" customHeight="1">
      <c r="A28" s="98">
        <v>11</v>
      </c>
      <c r="B28" s="570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0"/>
      <c r="D28" s="47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47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8"/>
      <c r="C29" s="558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IF(N29=0," ",CONCATENATE(VLOOKUP(N29,Регистрация!$B$7:$N$39,3,FALSE)," ",VLOOKUP(N29,Регистрация!$B$7:$N$39,4,FALSE)))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19</v>
      </c>
      <c r="B30" s="57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0"/>
      <c r="D30" s="47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47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20</v>
      </c>
    </row>
    <row r="31" spans="1:18" ht="11.25" customHeight="1">
      <c r="A31" s="165"/>
      <c r="B31" s="558"/>
      <c r="C31" s="558"/>
      <c r="D31" s="47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IF(J31=0," ",CONCATENATE(VLOOKUP(J31,Регистрация!$B$7:$N$39,3,FALSE)," ",VLOOKUP(J31,Регистрация!$B$7:$N$39,4,FALSE)))</f>
        <v xml:space="preserve"> </v>
      </c>
      <c r="L31" s="49"/>
      <c r="M31" s="312"/>
      <c r="N31" s="47"/>
      <c r="O31" s="304"/>
      <c r="P31" s="47"/>
      <c r="Q31" s="304"/>
      <c r="R31" s="165"/>
    </row>
    <row r="32" spans="1:18" ht="11.25" customHeight="1">
      <c r="A32" s="98">
        <v>7</v>
      </c>
      <c r="B32" s="570" t="str">
        <f>IF(Регистрация!$D$6&lt;A32," ",CONCATENATE(VLOOKUP(A32,Регистрация!$B$7:$N$39,3,FALSE)," ",VLOOKUP(A32,Регистрация!$B$7:$N$39,4,FALSE)," ","(",VLOOKUP(A32,Регистрация!$B$7:$N$39,11,FALSE),")"))</f>
        <v xml:space="preserve"> </v>
      </c>
      <c r="C32" s="570"/>
      <c r="D32" s="47"/>
      <c r="E32" s="313"/>
      <c r="F32" s="47"/>
      <c r="G32" s="311"/>
      <c r="H32" s="144"/>
      <c r="I32" s="144"/>
      <c r="M32" s="312"/>
      <c r="N32" s="47"/>
      <c r="O32" s="304"/>
      <c r="P32" s="47"/>
      <c r="Q32" s="35" t="str">
        <f>IF(Регистрация!$D$6&lt;R32," ",CONCATENATE(VLOOKUP(R32,Регистрация!$B$7:$N$39,3,FALSE)," ",VLOOKUP(R32,Регистрация!$B$7:$N$39,4,FALSE)," ","(",VLOOKUP(R32,Регистрация!$B$7:$N$39,11,FALSE),")"))</f>
        <v xml:space="preserve"> </v>
      </c>
      <c r="R32" s="98">
        <v>8</v>
      </c>
    </row>
    <row r="33" spans="1:18" ht="11.25" customHeight="1">
      <c r="A33" s="165"/>
      <c r="B33" s="558"/>
      <c r="C33" s="558"/>
      <c r="D33" s="46"/>
      <c r="E33" s="79" t="str">
        <f>IF(D33=0," ",CONCATENATE(VLOOKUP(D33,Регистрация!$B$7:$N$39,3,FALSE)," ",VLOOKUP(D33,Регистрация!$B$7:$N$39,4,FALSE)))</f>
        <v xml:space="preserve"> </v>
      </c>
      <c r="F33" s="47"/>
      <c r="G33" s="311"/>
      <c r="H33" s="144"/>
      <c r="I33" s="144"/>
      <c r="M33" s="312"/>
      <c r="N33" s="47"/>
      <c r="O33" s="79" t="str">
        <f>IF(N33=0," ",CONCATENATE(VLOOKUP(N33,Регистрация!$B$7:$N$39,3,FALSE)," ",VLOOKUP(N33,Регистрация!$B$7:$N$39,4,FALSE)))</f>
        <v xml:space="preserve"> </v>
      </c>
      <c r="P33" s="46"/>
      <c r="Q33" s="304"/>
      <c r="R33" s="165"/>
    </row>
    <row r="34" spans="1:18" ht="11.25" customHeight="1">
      <c r="A34" s="98">
        <v>23</v>
      </c>
      <c r="B34" s="570" t="str">
        <f>IF(Регистрация!$D$6&lt;A34," ",CONCATENATE(VLOOKUP(A34,Регистрация!$B$7:$N$39,3,FALSE)," ",VLOOKUP(A34,Регистрация!$B$7:$N$39,4,FALSE)," ","(",VLOOKUP(A34,Регистрация!$B$7:$N$39,11,FALSE),")"))</f>
        <v xml:space="preserve"> </v>
      </c>
      <c r="C34" s="570"/>
      <c r="D34" s="47"/>
      <c r="E34" s="326"/>
      <c r="F34" s="47"/>
      <c r="G34" s="314"/>
      <c r="H34" s="144"/>
      <c r="I34" s="144"/>
      <c r="M34" s="315"/>
      <c r="N34" s="47"/>
      <c r="O34" s="327"/>
      <c r="P34" s="47"/>
      <c r="Q34" s="35" t="str">
        <f>IF(Регистрация!$D$6&lt;R34," ",CONCATENATE(VLOOKUP(R34,Регистрация!$B$7:$N$39,3,FALSE)," ",VLOOKUP(R34,Регистрация!$B$7:$N$39,4,FALSE)," ","(",VLOOKUP(R34,Регистрация!$B$7:$N$39,11,FALSE),")"))</f>
        <v xml:space="preserve"> </v>
      </c>
      <c r="R34" s="98">
        <v>24</v>
      </c>
    </row>
    <row r="35" spans="1:18" ht="11.25" customHeight="1">
      <c r="A35" s="165"/>
      <c r="B35" s="558"/>
      <c r="C35" s="558"/>
      <c r="D35" s="47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47"/>
      <c r="Q35" s="304"/>
      <c r="R35" s="165"/>
    </row>
    <row r="36" spans="1:18" ht="11.25" customHeight="1">
      <c r="A36" s="98">
        <v>15</v>
      </c>
      <c r="B36" s="570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70"/>
      <c r="D36" s="47"/>
      <c r="E36" s="308"/>
      <c r="F36" s="144"/>
      <c r="G36" s="144"/>
      <c r="H36" s="144"/>
      <c r="I36" s="144"/>
      <c r="O36" s="323"/>
      <c r="P36" s="47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58"/>
      <c r="C37" s="558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29</v>
      </c>
      <c r="B38" s="570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70"/>
      <c r="D38" s="142"/>
      <c r="E38" s="110"/>
      <c r="F38" s="254"/>
      <c r="G38" s="254"/>
      <c r="H38" s="559"/>
      <c r="I38" s="559"/>
      <c r="J38" s="559"/>
      <c r="K38" s="559"/>
      <c r="L38" s="559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30</v>
      </c>
    </row>
    <row r="39" spans="1:18" ht="12" customHeight="1">
      <c r="A39" s="165"/>
      <c r="B39" s="558"/>
      <c r="C39" s="558"/>
      <c r="D39" s="142"/>
      <c r="E39" s="110"/>
      <c r="F39" s="254"/>
      <c r="G39" s="254"/>
      <c r="H39" s="559" t="s">
        <v>25</v>
      </c>
      <c r="I39" s="559"/>
      <c r="J39" s="559"/>
      <c r="K39" s="559"/>
      <c r="L39" s="559"/>
      <c r="Q39" s="304"/>
      <c r="R39" s="165"/>
    </row>
    <row r="40" spans="1:18" ht="12" customHeight="1">
      <c r="D40" s="178"/>
      <c r="E40" s="128"/>
      <c r="H40" s="265"/>
      <c r="J40" s="108"/>
    </row>
    <row r="41" spans="1:18" ht="12" customHeight="1">
      <c r="A41" s="560" t="s">
        <v>16</v>
      </c>
      <c r="B41" s="560"/>
      <c r="C41" s="561"/>
      <c r="D41" s="561"/>
      <c r="E41" s="561"/>
      <c r="H41" s="98">
        <f>IF(H23=0,0,IF(H23=H15,H31,H15))</f>
        <v>0</v>
      </c>
      <c r="I41" s="562" t="str">
        <f>IF(H41=0," ",CONCATENATE(VLOOKUP(H41,Регистрация!$B$7:$N$39,3,FALSE)," ",VLOOKUP(H41,Регистрация!$B$7:$N$39,4,FALSE)))</f>
        <v xml:space="preserve"> </v>
      </c>
      <c r="J41" s="563" t="e">
        <f>IF(I41=0," ",CONCATENATE(VLOOKUP(I41,Регистрация!$B$7:$N$39,3,FALSE)," ",VLOOKUP(I41,Регистрация!$B$7:$N$39,4,FALSE)))</f>
        <v>#N/A</v>
      </c>
      <c r="K41" s="564" t="e">
        <f>IF(J41=0," ",CONCATENATE(VLOOKUP(J41,Регистрация!$B$7:$N$39,3,FALSE)," ",VLOOKUP(J41,Регистрация!$B$7:$N$39,4,FALSE)))</f>
        <v>#N/A</v>
      </c>
    </row>
    <row r="42" spans="1:18" ht="12" customHeight="1">
      <c r="A42" s="80"/>
      <c r="B42" s="319" t="s">
        <v>28</v>
      </c>
      <c r="C42" s="573" t="s">
        <v>17</v>
      </c>
      <c r="D42" s="574"/>
      <c r="E42" s="574"/>
      <c r="F42" s="575"/>
      <c r="H42" s="165"/>
      <c r="I42" s="320"/>
      <c r="J42" s="167"/>
      <c r="K42" s="167"/>
      <c r="L42" s="46"/>
      <c r="M42" s="568" t="str">
        <f>IF(L42=0," ",CONCATENATE(VLOOKUP(L42,Регистрация!$B$7:$N$39,3,FALSE)," ",VLOOKUP(L42,Регистрация!$B$7:$N$39,4,FALSE)))</f>
        <v xml:space="preserve"> </v>
      </c>
      <c r="N42" s="568"/>
    </row>
    <row r="43" spans="1:18" ht="12" customHeight="1">
      <c r="A43" s="89">
        <f>H9</f>
        <v>0</v>
      </c>
      <c r="B43" s="97">
        <v>1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  <c r="G43" s="111"/>
      <c r="H43" s="98">
        <f>IF(L23=0,0,IF(L23=L15,L31,L15))</f>
        <v>0</v>
      </c>
      <c r="I43" s="562" t="str">
        <f>IF(H43=0," ",CONCATENATE(VLOOKUP(H43,Регистрация!$B$7:$N$39,3,FALSE)," ",VLOOKUP(H43,Регистрация!$B$7:$N$39,4,FALSE)))</f>
        <v xml:space="preserve"> </v>
      </c>
      <c r="J43" s="563" t="e">
        <f>IF(I43=0," ",CONCATENATE(VLOOKUP(I43,Регистрация!$B$7:$N$39,3,FALSE)," ",VLOOKUP(I43,Регистрация!$B$7:$N$39,4,FALSE)))</f>
        <v>#N/A</v>
      </c>
      <c r="K43" s="564" t="e">
        <f>IF(J43=0," ",CONCATENATE(VLOOKUP(J43,Регистрация!$B$7:$N$39,3,FALSE)," ",VLOOKUP(J43,Регистрация!$B$7:$N$39,4,FALSE)))</f>
        <v>#N/A</v>
      </c>
    </row>
    <row r="44" spans="1:18" ht="12" customHeight="1">
      <c r="A44" s="89">
        <f>IF(H9=0,0,IF(H9=H23,L23,H23))</f>
        <v>0</v>
      </c>
      <c r="B44" s="97">
        <v>2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2" customHeight="1">
      <c r="A45" s="89">
        <f>L42</f>
        <v>0</v>
      </c>
      <c r="B45" s="97">
        <v>3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</row>
    <row r="46" spans="1:18" s="78" customFormat="1" ht="11.25" customHeight="1">
      <c r="A46" s="89">
        <f>IF(L42=0,0,IF(L42=H41,H43,H41))</f>
        <v>0</v>
      </c>
      <c r="B46" s="97">
        <v>4</v>
      </c>
      <c r="C46" s="551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52"/>
      <c r="E46" s="552"/>
      <c r="F46" s="553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5.5" customHeight="1">
      <c r="A47" s="554" t="s">
        <v>26</v>
      </c>
      <c r="B47" s="554"/>
      <c r="C47" s="554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54" t="str">
        <f>Регистрация!N73</f>
        <v>Цыльев В.А. С1К</v>
      </c>
      <c r="P47" s="554"/>
      <c r="Q47" s="554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">
      <c r="A49" s="554" t="s">
        <v>27</v>
      </c>
      <c r="B49" s="554"/>
      <c r="C49" s="554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54" t="str">
        <f>Регистрация!N74</f>
        <v>Орлова Е.С 3 К</v>
      </c>
      <c r="P49" s="554"/>
      <c r="Q49" s="554"/>
      <c r="R49" s="322"/>
    </row>
    <row r="50" spans="1:18" ht="13">
      <c r="A50" s="77"/>
      <c r="D50" s="77"/>
      <c r="R50" s="77"/>
    </row>
    <row r="51" spans="1:18" ht="13">
      <c r="A51" s="77"/>
      <c r="D51" s="77"/>
      <c r="R51" s="77"/>
    </row>
    <row r="52" spans="1:18" ht="13">
      <c r="A52" s="77"/>
      <c r="D52" s="77"/>
      <c r="R52" s="77"/>
    </row>
    <row r="53" spans="1:18" ht="13">
      <c r="A53" s="77"/>
      <c r="D53" s="77"/>
      <c r="R53" s="77"/>
    </row>
    <row r="54" spans="1:18" ht="13">
      <c r="A54" s="77"/>
      <c r="D54" s="77"/>
      <c r="R54" s="77"/>
    </row>
    <row r="55" spans="1:18" ht="13">
      <c r="A55" s="77"/>
      <c r="D55" s="77"/>
      <c r="R55" s="77"/>
    </row>
    <row r="56" spans="1:18" ht="13">
      <c r="A56" s="77"/>
      <c r="D56" s="77"/>
      <c r="R56" s="77"/>
    </row>
    <row r="57" spans="1:18" ht="13">
      <c r="A57" s="77"/>
      <c r="D57" s="77"/>
      <c r="R57" s="77"/>
    </row>
    <row r="58" spans="1:18" ht="13">
      <c r="A58" s="77"/>
      <c r="D58" s="77"/>
      <c r="R58" s="77"/>
    </row>
    <row r="59" spans="1:18" ht="13">
      <c r="A59" s="77"/>
      <c r="D59" s="77"/>
      <c r="R59" s="77"/>
    </row>
    <row r="60" spans="1:18" ht="13">
      <c r="A60" s="77"/>
      <c r="D60" s="77"/>
      <c r="R60" s="77"/>
    </row>
    <row r="61" spans="1:18" ht="13">
      <c r="A61" s="77"/>
      <c r="D61" s="77"/>
      <c r="R61" s="77"/>
    </row>
    <row r="62" spans="1:18" ht="13">
      <c r="A62" s="77"/>
      <c r="D62" s="77"/>
      <c r="R62" s="77"/>
    </row>
    <row r="63" spans="1:18" ht="13">
      <c r="A63" s="77"/>
      <c r="D63" s="77"/>
      <c r="R63" s="77"/>
    </row>
    <row r="64" spans="1:18" ht="13">
      <c r="A64" s="77"/>
      <c r="D64" s="77"/>
      <c r="R64" s="77"/>
    </row>
    <row r="65" spans="1:4" s="77" customFormat="1" ht="13"/>
    <row r="66" spans="1:4" s="77" customFormat="1" ht="13">
      <c r="A66" s="84"/>
      <c r="D66" s="84"/>
    </row>
  </sheetData>
  <mergeCells count="55">
    <mergeCell ref="C46:F46"/>
    <mergeCell ref="A47:C47"/>
    <mergeCell ref="O47:Q47"/>
    <mergeCell ref="A49:C49"/>
    <mergeCell ref="O49:Q49"/>
    <mergeCell ref="C45:F45"/>
    <mergeCell ref="B39:C39"/>
    <mergeCell ref="H39:L39"/>
    <mergeCell ref="A41:E41"/>
    <mergeCell ref="I41:K41"/>
    <mergeCell ref="M42:N42"/>
    <mergeCell ref="C42:F42"/>
    <mergeCell ref="C43:F43"/>
    <mergeCell ref="C44:F44"/>
    <mergeCell ref="I43:K43"/>
    <mergeCell ref="B36:C36"/>
    <mergeCell ref="B37:C37"/>
    <mergeCell ref="B38:C38"/>
    <mergeCell ref="H38:L38"/>
    <mergeCell ref="B30:C30"/>
    <mergeCell ref="B31:C31"/>
    <mergeCell ref="B32:C32"/>
    <mergeCell ref="B33:C33"/>
    <mergeCell ref="B34:C34"/>
    <mergeCell ref="B35:C35"/>
    <mergeCell ref="B29:C29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7:C17"/>
    <mergeCell ref="B9:E9"/>
    <mergeCell ref="I9:K9"/>
    <mergeCell ref="O9:Q9"/>
    <mergeCell ref="B10:C10"/>
    <mergeCell ref="I10:K10"/>
    <mergeCell ref="B11:C11"/>
    <mergeCell ref="B12:C12"/>
    <mergeCell ref="B13:C13"/>
    <mergeCell ref="B14:C14"/>
    <mergeCell ref="B15:C15"/>
    <mergeCell ref="B16:C16"/>
    <mergeCell ref="B8:C8"/>
    <mergeCell ref="B1:Q1"/>
    <mergeCell ref="B3:Q3"/>
    <mergeCell ref="G5:M5"/>
    <mergeCell ref="G7:M7"/>
    <mergeCell ref="A5:E5"/>
  </mergeCells>
  <pageMargins left="0.24" right="0.2" top="0.17" bottom="0.22" header="0.11" footer="0.15"/>
  <pageSetup paperSize="9" orientation="landscape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>
    <tabColor theme="5" tint="0.79998168889431442"/>
  </sheetPr>
  <dimension ref="A1:R66"/>
  <sheetViews>
    <sheetView showGridLines="0" showZeros="0" zoomScale="120" zoomScaleNormal="120" workbookViewId="0">
      <selection activeCell="A8" sqref="A8"/>
    </sheetView>
  </sheetViews>
  <sheetFormatPr defaultColWidth="9.1796875" defaultRowHeight="11.15" customHeight="1"/>
  <cols>
    <col min="1" max="1" width="1.81640625" style="8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303" bestFit="1" customWidth="1"/>
    <col min="19" max="16384" width="9.1796875" style="77"/>
  </cols>
  <sheetData>
    <row r="1" spans="1:18" ht="14.25" customHeight="1">
      <c r="A1" s="76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83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110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6" customFormat="1" ht="12.75" customHeight="1">
      <c r="A5" s="572" t="str">
        <f>Регистрация!A3</f>
        <v>Женщины 18 +  ОК-двоеборье</v>
      </c>
      <c r="B5" s="572"/>
      <c r="C5" s="572"/>
      <c r="D5" s="572"/>
      <c r="E5" s="572"/>
      <c r="F5" s="95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</row>
    <row r="6" spans="1:18" s="145" customFormat="1" ht="12.75" customHeight="1">
      <c r="A6" s="8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303"/>
    </row>
    <row r="7" spans="1:18" s="145" customFormat="1" ht="15.5">
      <c r="A7" s="8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303"/>
    </row>
    <row r="8" spans="1:18" s="133" customFormat="1" ht="11.25" customHeight="1">
      <c r="A8" s="165"/>
      <c r="B8" s="558"/>
      <c r="C8" s="558"/>
      <c r="D8" s="84"/>
      <c r="E8" s="111"/>
      <c r="F8" s="108"/>
      <c r="G8" s="108"/>
      <c r="H8" s="108"/>
      <c r="I8" s="84"/>
      <c r="J8" s="84"/>
      <c r="K8" s="255"/>
      <c r="Q8" s="35" t="str">
        <f>IF(Регистрация!$D$6&lt;R8," ",CONCATENATE(VLOOKUP(R8,Регистрация!$B$7:$N$39,3,FALSE)," ",VLOOKUP(R8,Регистрация!$B$7:$N$39,4,FALSE)," ","(",VLOOKUP(R8,Регистрация!$B$7:$N$39,11,FALSE),")"))</f>
        <v>Хохлова Элина (WSKF)</v>
      </c>
      <c r="R8" s="98">
        <v>2</v>
      </c>
    </row>
    <row r="9" spans="1:18" s="305" customFormat="1" ht="11.25" customHeight="1">
      <c r="A9" s="98">
        <v>1</v>
      </c>
      <c r="B9" s="551" t="str">
        <f>IF(Регистрация!$D$6&lt;A9," ",CONCATENATE(VLOOKUP(A9,Регистрация!$B$7:$N$39,3,FALSE)," ",VLOOKUP(A9,Регистрация!$B$7:$N$39,4,FALSE)," ","(",VLOOKUP(A9,Регистрация!$B$7:$N$39,11,FALSE),")"))</f>
        <v>Сугралиева Арина (Политех)</v>
      </c>
      <c r="C9" s="552"/>
      <c r="D9" s="552" t="e">
        <f>IF(Регистрация!$D$6&lt;C9," ",CONCATENATE(VLOOKUP(C9,Регистрация!$B$7:$N$39,3,FALSE)," ",VLOOKUP(C9,Регистрация!$B$7:$N$39,4,FALSE)," ","(",VLOOKUP(C9,Регистрация!$B$7:$N$39,11,FALSE),")"))</f>
        <v>#N/A</v>
      </c>
      <c r="E9" s="553"/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 t="e">
        <f>IF(I9=0," ",CONCATENATE(VLOOKUP(I9,Регистрация!$B$7:$N$39,3,FALSE)," ",VLOOKUP(I9,Регистрация!$B$7:$N$39,4,FALSE)))</f>
        <v>#N/A</v>
      </c>
      <c r="K9" s="564" t="e">
        <f>IF(J9=0," ",CONCATENATE(VLOOKUP(J9,Регистрация!$B$7:$N$39,3,FALSE)," ",VLOOKUP(J9,Регистрация!$B$7:$N$39,4,FALSE)))</f>
        <v>#N/A</v>
      </c>
      <c r="O9" s="79" t="str">
        <f>IF(N9=0," ",CONCATENATE(VLOOKUP(N9,Регистрация!$B$7:$N$39,3,FALSE)," ",VLOOKUP(N9,Регистрация!$B$7:$N$39,4,FALSE)))</f>
        <v xml:space="preserve"> </v>
      </c>
      <c r="P9" s="46"/>
      <c r="Q9" s="304"/>
      <c r="R9" s="165"/>
    </row>
    <row r="10" spans="1:18" s="145" customFormat="1" ht="11.25" customHeight="1">
      <c r="A10" s="165"/>
      <c r="B10" s="558"/>
      <c r="C10" s="558"/>
      <c r="D10" s="165"/>
      <c r="E10" s="306"/>
      <c r="F10" s="108"/>
      <c r="G10" s="108"/>
      <c r="H10" s="45"/>
      <c r="I10" s="569"/>
      <c r="J10" s="569"/>
      <c r="K10" s="569"/>
      <c r="O10" s="327"/>
      <c r="P10" s="47"/>
      <c r="Q10" s="35" t="str">
        <f>IF(Регистрация!$D$6&lt;R10," ",CONCATENATE(VLOOKUP(R10,Регистрация!$B$7:$N$39,3,FALSE)," ",VLOOKUP(R10,Регистрация!$B$7:$N$39,4,FALSE)," ","(",VLOOKUP(R10,Регистрация!$B$7:$N$39,11,FALSE),")"))</f>
        <v xml:space="preserve"> </v>
      </c>
      <c r="R10" s="98">
        <v>30</v>
      </c>
    </row>
    <row r="11" spans="1:18" s="133" customFormat="1" ht="11.25" customHeight="1">
      <c r="A11" s="165"/>
      <c r="B11" s="558"/>
      <c r="C11" s="558"/>
      <c r="D11" s="165"/>
      <c r="E11" s="306"/>
      <c r="F11" s="48"/>
      <c r="G11" s="79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79" t="str">
        <f>IF(L11=0," ",CONCATENATE(VLOOKUP(L11,Регистрация!$B$7:$N$39,3,FALSE)," ",VLOOKUP(L11,Регистрация!$B$7:$N$39,4,FALSE)))</f>
        <v xml:space="preserve"> </v>
      </c>
      <c r="N11" s="49"/>
      <c r="O11" s="307"/>
      <c r="P11" s="47"/>
      <c r="Q11" s="304"/>
      <c r="R11" s="165"/>
    </row>
    <row r="12" spans="1:18" s="145" customFormat="1" ht="11.25" customHeight="1">
      <c r="A12" s="9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165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47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98">
        <v>10</v>
      </c>
    </row>
    <row r="13" spans="1:18" s="133" customFormat="1" ht="11.25" customHeight="1">
      <c r="A13" s="165"/>
      <c r="B13" s="558"/>
      <c r="C13" s="558"/>
      <c r="D13" s="46"/>
      <c r="E13" s="7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79" t="str">
        <f>IF(N13=0," ",CONCATENATE(VLOOKUP(N13,Регистрация!$B$7:$N$39,3,FALSE)," ",VLOOKUP(N13,Регистрация!$B$7:$N$39,4,FALSE)))</f>
        <v xml:space="preserve"> </v>
      </c>
      <c r="P13" s="46"/>
      <c r="Q13" s="304"/>
      <c r="R13" s="165"/>
    </row>
    <row r="14" spans="1:18" s="133" customFormat="1" ht="11.25" customHeight="1">
      <c r="A14" s="98">
        <v>17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47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47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98">
        <v>18</v>
      </c>
    </row>
    <row r="15" spans="1:18" ht="11.25" customHeight="1">
      <c r="A15" s="165"/>
      <c r="B15" s="558"/>
      <c r="C15" s="558"/>
      <c r="D15" s="47"/>
      <c r="E15" s="313"/>
      <c r="F15" s="47"/>
      <c r="G15" s="311"/>
      <c r="H15" s="48"/>
      <c r="I15" s="79" t="str">
        <f>IF(H15=0," ",CONCATENATE(VLOOKUP(H15,Регистрация!$B$7:$N$39,3,FALSE)," ",VLOOKUP(H15,Регистрация!$B$7:$N$39,4,FALSE)))</f>
        <v xml:space="preserve"> </v>
      </c>
      <c r="J15" s="105"/>
      <c r="K15" s="79" t="str">
        <f>IF(J15=0," ",CONCATENATE(VLOOKUP(J15,Регистрация!$B$7:$N$39,3,FALSE)," ",VLOOKUP(J15,Регистрация!$B$7:$N$39,4,FALSE)))</f>
        <v xml:space="preserve"> </v>
      </c>
      <c r="L15" s="49"/>
      <c r="M15" s="312"/>
      <c r="N15" s="47"/>
      <c r="O15" s="304"/>
      <c r="P15" s="47"/>
      <c r="Q15" s="304"/>
      <c r="R15" s="165"/>
    </row>
    <row r="16" spans="1:18" ht="11.25" customHeight="1">
      <c r="A16" s="98">
        <v>5</v>
      </c>
      <c r="B16" s="570" t="str">
        <f>IF(Регистрация!$D$6&lt;A16," ",CONCATENATE(VLOOKUP(A16,Регистрация!$B$7:$N$39,3,FALSE)," ",VLOOKUP(A16,Регистрация!$B$7:$N$39,4,FALSE)," ","(",VLOOKUP(A16,Регистрация!$B$7:$N$39,11,FALSE),")"))</f>
        <v>Носкова Александра (Политех)</v>
      </c>
      <c r="C16" s="570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47"/>
      <c r="Q16" s="35" t="str">
        <f>IF(Регистрация!$D$6&lt;R16," ",CONCATENATE(VLOOKUP(R16,Регистрация!$B$7:$N$39,3,FALSE)," ",VLOOKUP(R16,Регистрация!$B$7:$N$39,4,FALSE)," ","(",VLOOKUP(R16,Регистрация!$B$7:$N$39,11,FALSE),")"))</f>
        <v>Павлова Мария (Политех)</v>
      </c>
      <c r="R16" s="98">
        <v>6</v>
      </c>
    </row>
    <row r="17" spans="1:18" ht="11.25" customHeight="1">
      <c r="A17" s="165"/>
      <c r="B17" s="558"/>
      <c r="C17" s="558"/>
      <c r="D17" s="46"/>
      <c r="E17" s="7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79" t="str">
        <f>IF(N17=0," ",CONCATENATE(VLOOKUP(N17,Регистрация!$B$7:$N$39,3,FALSE)," ",VLOOKUP(N17,Регистрация!$B$7:$N$39,4,FALSE)))</f>
        <v xml:space="preserve"> </v>
      </c>
      <c r="P17" s="46"/>
      <c r="Q17" s="304"/>
      <c r="R17" s="165"/>
    </row>
    <row r="18" spans="1:18" ht="11.25" customHeight="1">
      <c r="A18" s="98">
        <v>21</v>
      </c>
      <c r="B18" s="570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70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27"/>
      <c r="P18" s="47"/>
      <c r="Q18" s="35" t="str">
        <f>IF(Регистрация!$D$6&lt;R18," ",CONCATENATE(VLOOKUP(R18,Регистрация!$B$7:$N$39,3,FALSE)," ",VLOOKUP(R18,Регистрация!$B$7:$N$39,4,FALSE)," ","(",VLOOKUP(R18,Регистрация!$B$7:$N$39,11,FALSE),")"))</f>
        <v xml:space="preserve"> </v>
      </c>
      <c r="R18" s="98">
        <v>22</v>
      </c>
    </row>
    <row r="19" spans="1:18" ht="11.25" customHeight="1">
      <c r="A19" s="165"/>
      <c r="B19" s="558"/>
      <c r="C19" s="558"/>
      <c r="D19" s="47"/>
      <c r="E19" s="306"/>
      <c r="F19" s="48"/>
      <c r="G19" s="79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79" t="str">
        <f>IF(L19=0," ",CONCATENATE(VLOOKUP(L19,Регистрация!$B$7:$N$39,3,FALSE)," ",VLOOKUP(L19,Регистрация!$B$7:$N$39,4,FALSE)))</f>
        <v xml:space="preserve"> </v>
      </c>
      <c r="N19" s="49"/>
      <c r="O19" s="307"/>
      <c r="P19" s="47"/>
      <c r="Q19" s="304"/>
      <c r="R19" s="165"/>
    </row>
    <row r="20" spans="1:18" ht="11.25" customHeight="1">
      <c r="A20" s="98">
        <v>13</v>
      </c>
      <c r="B20" s="570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0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47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98">
        <v>14</v>
      </c>
    </row>
    <row r="21" spans="1:18" ht="11.25" customHeight="1">
      <c r="A21" s="165"/>
      <c r="B21" s="558"/>
      <c r="C21" s="558"/>
      <c r="D21" s="46"/>
      <c r="E21" s="7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79" t="str">
        <f>IF(N21=0," ",CONCATENATE(VLOOKUP(N21,Регистрация!$B$7:$N$39,3,FALSE)," ",VLOOKUP(N21,Регистрация!$B$7:$N$39,4,FALSE)))</f>
        <v xml:space="preserve"> </v>
      </c>
      <c r="P21" s="46"/>
      <c r="Q21" s="304"/>
      <c r="R21" s="165"/>
    </row>
    <row r="22" spans="1:18" ht="11.25" customHeight="1">
      <c r="A22" s="98">
        <v>25</v>
      </c>
      <c r="B22" s="570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0"/>
      <c r="D22" s="47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47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98">
        <v>26</v>
      </c>
    </row>
    <row r="23" spans="1:18" ht="11.25" customHeight="1">
      <c r="A23" s="165"/>
      <c r="B23" s="558"/>
      <c r="C23" s="558"/>
      <c r="D23" s="47"/>
      <c r="E23" s="313"/>
      <c r="F23" s="47"/>
      <c r="G23" s="316"/>
      <c r="H23" s="46"/>
      <c r="I23" s="79" t="str">
        <f>IF(H23=0," ",CONCATENATE(VLOOKUP(H23,Регистрация!$B$7:$N$39,3,FALSE)," ",VLOOKUP(H23,Регистрация!$B$7:$N$39,4,FALSE)))</f>
        <v xml:space="preserve"> </v>
      </c>
      <c r="K23" s="79" t="str">
        <f>IF(J23=0," ",CONCATENATE(VLOOKUP(J23,Регистрация!$B$7:$N$39,3,FALSE)," ",VLOOKUP(J23,Регистрация!$B$7:$N$39,4,FALSE)))</f>
        <v xml:space="preserve"> </v>
      </c>
      <c r="L23" s="46"/>
      <c r="M23" s="317"/>
      <c r="N23" s="47"/>
      <c r="O23" s="304"/>
      <c r="P23" s="47"/>
      <c r="Q23" s="304"/>
      <c r="R23" s="165"/>
    </row>
    <row r="24" spans="1:18" ht="11.25" customHeight="1">
      <c r="A24" s="98">
        <v>3</v>
      </c>
      <c r="B24" s="570" t="str">
        <f>IF(Регистрация!$D$6&lt;A24," ",CONCATENATE(VLOOKUP(A24,Регистрация!$B$7:$N$39,3,FALSE)," ",VLOOKUP(A24,Регистрация!$B$7:$N$39,4,FALSE)," ","(",VLOOKUP(A24,Регистрация!$B$7:$N$39,11,FALSE),")"))</f>
        <v>Паранина Полина (Политех)</v>
      </c>
      <c r="C24" s="570"/>
      <c r="D24" s="47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47"/>
      <c r="Q24" s="35" t="str">
        <f>IF(Регистрация!$D$6&lt;R24," ",CONCATENATE(VLOOKUP(R24,Регистрация!$B$7:$N$39,3,FALSE)," ",VLOOKUP(R24,Регистрация!$B$7:$N$39,4,FALSE)," ","(",VLOOKUP(R24,Регистрация!$B$7:$N$39,11,FALSE),")"))</f>
        <v>Шайдулина Алина (Политех)</v>
      </c>
      <c r="R24" s="98">
        <v>4</v>
      </c>
    </row>
    <row r="25" spans="1:18" ht="11.25" customHeight="1">
      <c r="A25" s="165"/>
      <c r="B25" s="558"/>
      <c r="C25" s="558"/>
      <c r="D25" s="46"/>
      <c r="E25" s="79" t="str">
        <f>IF(D25=0," ",CONCATENATE(VLOOKUP(D25,Регистрация!$B$7:$N$39,3,FALSE)," ",VLOOKUP(D25,Регистрация!$B$7:$N$39,4,FALSE)))</f>
        <v xml:space="preserve"> </v>
      </c>
      <c r="F25" s="47"/>
      <c r="G25" s="316"/>
      <c r="H25" s="47"/>
      <c r="I25" s="311"/>
      <c r="K25" s="312"/>
      <c r="L25" s="47"/>
      <c r="M25" s="317"/>
      <c r="N25" s="47"/>
      <c r="O25" s="79" t="str">
        <f>IF(N25=0," ",CONCATENATE(VLOOKUP(N25,Регистрация!$B$7:$N$39,3,FALSE)," ",VLOOKUP(N25,Регистрация!$B$7:$N$39,4,FALSE)))</f>
        <v xml:space="preserve"> </v>
      </c>
      <c r="P25" s="46"/>
      <c r="Q25" s="304"/>
      <c r="R25" s="165"/>
    </row>
    <row r="26" spans="1:18" ht="11.25" customHeight="1">
      <c r="A26" s="98">
        <v>29</v>
      </c>
      <c r="B26" s="570" t="str">
        <f>IF(Регистрация!$D$6&lt;A26," ",CONCATENATE(VLOOKUP(A26,Регистрация!$B$7:$N$39,3,FALSE)," ",VLOOKUP(A26,Регистрация!$B$7:$N$39,4,FALSE)," ","(",VLOOKUP(A26,Регистрация!$B$7:$N$39,11,FALSE),")"))</f>
        <v xml:space="preserve"> </v>
      </c>
      <c r="C26" s="570"/>
      <c r="D26" s="47"/>
      <c r="E26" s="326"/>
      <c r="F26" s="47"/>
      <c r="G26" s="316"/>
      <c r="H26" s="47"/>
      <c r="I26" s="311"/>
      <c r="K26" s="312"/>
      <c r="L26" s="47"/>
      <c r="M26" s="317"/>
      <c r="N26" s="47"/>
      <c r="O26" s="327"/>
      <c r="P26" s="47"/>
      <c r="Q26" s="35" t="str">
        <f>IF(Регистрация!$D$6&lt;R26," ",CONCATENATE(VLOOKUP(R26,Регистрация!$B$7:$N$39,3,FALSE)," ",VLOOKUP(R26,Регистрация!$B$7:$N$39,4,FALSE)," ","(",VLOOKUP(R26,Регистрация!$B$7:$N$39,11,FALSE),")"))</f>
        <v xml:space="preserve"> </v>
      </c>
      <c r="R26" s="98">
        <v>31</v>
      </c>
    </row>
    <row r="27" spans="1:18" ht="11.25" customHeight="1">
      <c r="A27" s="165"/>
      <c r="B27" s="558"/>
      <c r="C27" s="558"/>
      <c r="D27" s="47"/>
      <c r="E27" s="306"/>
      <c r="F27" s="48"/>
      <c r="G27" s="79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79" t="str">
        <f>IF(L27=0," ",CONCATENATE(VLOOKUP(L27,Регистрация!$B$7:$N$39,3,FALSE)," ",VLOOKUP(L27,Регистрация!$B$7:$N$39,4,FALSE)))</f>
        <v xml:space="preserve"> </v>
      </c>
      <c r="N27" s="49"/>
      <c r="O27" s="307"/>
      <c r="P27" s="47"/>
      <c r="Q27" s="304"/>
      <c r="R27" s="165"/>
    </row>
    <row r="28" spans="1:18" ht="11.25" customHeight="1">
      <c r="A28" s="98">
        <v>11</v>
      </c>
      <c r="B28" s="570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0"/>
      <c r="D28" s="47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47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98">
        <v>12</v>
      </c>
    </row>
    <row r="29" spans="1:18" ht="11.25" customHeight="1">
      <c r="A29" s="165"/>
      <c r="B29" s="558"/>
      <c r="C29" s="558"/>
      <c r="D29" s="46"/>
      <c r="E29" s="7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79" t="str">
        <f>IF(N29=0," ",CONCATENATE(VLOOKUP(N29,Регистрация!$B$7:$N$39,3,FALSE)," ",VLOOKUP(N29,Регистрация!$B$7:$N$39,4,FALSE)))</f>
        <v xml:space="preserve"> </v>
      </c>
      <c r="P29" s="46"/>
      <c r="Q29" s="304"/>
      <c r="R29" s="165"/>
    </row>
    <row r="30" spans="1:18" ht="11.25" customHeight="1">
      <c r="A30" s="98">
        <v>23</v>
      </c>
      <c r="B30" s="57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0"/>
      <c r="D30" s="47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47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98">
        <v>24</v>
      </c>
    </row>
    <row r="31" spans="1:18" ht="11.25" customHeight="1">
      <c r="A31" s="165"/>
      <c r="B31" s="558"/>
      <c r="C31" s="558"/>
      <c r="D31" s="47"/>
      <c r="E31" s="313"/>
      <c r="F31" s="47"/>
      <c r="G31" s="311"/>
      <c r="H31" s="48"/>
      <c r="I31" s="79" t="str">
        <f>IF(H31=0," ",CONCATENATE(VLOOKUP(H31,Регистрация!$B$7:$N$39,3,FALSE)," ",VLOOKUP(H31,Регистрация!$B$7:$N$39,4,FALSE)))</f>
        <v xml:space="preserve"> </v>
      </c>
      <c r="K31" s="79" t="str">
        <f>IF(J31=0," ",CONCATENATE(VLOOKUP(J31,Регистрация!$B$7:$N$39,3,FALSE)," ",VLOOKUP(J31,Регистрация!$B$7:$N$39,4,FALSE)))</f>
        <v xml:space="preserve"> </v>
      </c>
      <c r="L31" s="49"/>
      <c r="M31" s="312"/>
      <c r="N31" s="47"/>
      <c r="O31" s="304"/>
      <c r="P31" s="47"/>
      <c r="Q31" s="304"/>
      <c r="R31" s="165"/>
    </row>
    <row r="32" spans="1:18" ht="11.25" customHeight="1">
      <c r="A32" s="98">
        <v>7</v>
      </c>
      <c r="B32" s="570" t="str">
        <f>IF(Регистрация!$D$6&lt;A32," ",CONCATENATE(VLOOKUP(A32,Регистрация!$B$7:$N$39,3,FALSE)," ",VLOOKUP(A32,Регистрация!$B$7:$N$39,4,FALSE)," ","(",VLOOKUP(A32,Регистрация!$B$7:$N$39,11,FALSE),")"))</f>
        <v xml:space="preserve"> </v>
      </c>
      <c r="C32" s="570"/>
      <c r="D32" s="47"/>
      <c r="E32" s="313"/>
      <c r="F32" s="47"/>
      <c r="G32" s="311"/>
      <c r="H32" s="144"/>
      <c r="I32" s="144"/>
      <c r="L32" s="42"/>
      <c r="M32" s="312"/>
      <c r="N32" s="47"/>
      <c r="O32" s="304"/>
      <c r="P32" s="47"/>
      <c r="Q32" s="35" t="str">
        <f>IF(Регистрация!$D$6&lt;R32," ",CONCATENATE(VLOOKUP(R32,Регистрация!$B$7:$N$39,3,FALSE)," ",VLOOKUP(R32,Регистрация!$B$7:$N$39,4,FALSE)," ","(",VLOOKUP(R32,Регистрация!$B$7:$N$39,11,FALSE),")"))</f>
        <v xml:space="preserve"> </v>
      </c>
      <c r="R32" s="98">
        <v>8</v>
      </c>
    </row>
    <row r="33" spans="1:18" ht="11.25" customHeight="1">
      <c r="A33" s="165"/>
      <c r="B33" s="558"/>
      <c r="C33" s="558"/>
      <c r="D33" s="46"/>
      <c r="E33" s="79" t="str">
        <f>IF(D33=0," ",CONCATENATE(VLOOKUP(D33,Регистрация!$B$7:$N$39,3,FALSE)," ",VLOOKUP(D33,Регистрация!$B$7:$N$39,4,FALSE)))</f>
        <v xml:space="preserve"> </v>
      </c>
      <c r="F33" s="47"/>
      <c r="G33" s="311"/>
      <c r="H33" s="144"/>
      <c r="I33" s="144"/>
      <c r="M33" s="312"/>
      <c r="N33" s="47"/>
      <c r="O33" s="79" t="str">
        <f>IF(N33=0," ",CONCATENATE(VLOOKUP(N33,Регистрация!$B$7:$N$39,3,FALSE)," ",VLOOKUP(N33,Регистрация!$B$7:$N$39,4,FALSE)))</f>
        <v xml:space="preserve"> </v>
      </c>
      <c r="P33" s="46"/>
      <c r="Q33" s="304"/>
      <c r="R33" s="165"/>
    </row>
    <row r="34" spans="1:18" ht="11.25" customHeight="1">
      <c r="A34" s="98">
        <v>19</v>
      </c>
      <c r="B34" s="570" t="str">
        <f>IF(Регистрация!$D$6&lt;A34," ",CONCATENATE(VLOOKUP(A34,Регистрация!$B$7:$N$39,3,FALSE)," ",VLOOKUP(A34,Регистрация!$B$7:$N$39,4,FALSE)," ","(",VLOOKUP(A34,Регистрация!$B$7:$N$39,11,FALSE),")"))</f>
        <v xml:space="preserve"> </v>
      </c>
      <c r="C34" s="570"/>
      <c r="D34" s="47"/>
      <c r="E34" s="326"/>
      <c r="F34" s="47"/>
      <c r="G34" s="314"/>
      <c r="H34" s="144"/>
      <c r="I34" s="144"/>
      <c r="M34" s="315"/>
      <c r="N34" s="47"/>
      <c r="O34" s="327"/>
      <c r="P34" s="47"/>
      <c r="Q34" s="35" t="str">
        <f>IF(Регистрация!$D$6&lt;R34," ",CONCATENATE(VLOOKUP(R34,Регистрация!$B$7:$N$39,3,FALSE)," ",VLOOKUP(R34,Регистрация!$B$7:$N$39,4,FALSE)," ","(",VLOOKUP(R34,Регистрация!$B$7:$N$39,11,FALSE),")"))</f>
        <v xml:space="preserve"> </v>
      </c>
      <c r="R34" s="98">
        <v>20</v>
      </c>
    </row>
    <row r="35" spans="1:18" ht="11.25" customHeight="1">
      <c r="A35" s="165"/>
      <c r="B35" s="558"/>
      <c r="C35" s="558"/>
      <c r="D35" s="47"/>
      <c r="E35" s="306"/>
      <c r="F35" s="48"/>
      <c r="G35" s="79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79" t="str">
        <f>IF(L35=0," ",CONCATENATE(VLOOKUP(L35,Регистрация!$B$7:$N$39,3,FALSE)," ",VLOOKUP(L35,Регистрация!$B$7:$N$39,4,FALSE)))</f>
        <v xml:space="preserve"> </v>
      </c>
      <c r="N35" s="49"/>
      <c r="O35" s="307"/>
      <c r="P35" s="47"/>
      <c r="Q35" s="304"/>
      <c r="R35" s="165"/>
    </row>
    <row r="36" spans="1:18" ht="11.25" customHeight="1">
      <c r="A36" s="98">
        <v>15</v>
      </c>
      <c r="B36" s="570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70"/>
      <c r="D36" s="47"/>
      <c r="E36" s="308"/>
      <c r="F36" s="144"/>
      <c r="G36" s="144"/>
      <c r="H36" s="144"/>
      <c r="I36" s="144"/>
      <c r="O36" s="323"/>
      <c r="P36" s="47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98">
        <v>16</v>
      </c>
    </row>
    <row r="37" spans="1:18" ht="11.25" customHeight="1">
      <c r="A37" s="165"/>
      <c r="B37" s="558"/>
      <c r="C37" s="558"/>
      <c r="D37" s="46"/>
      <c r="E37" s="7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79" t="str">
        <f>IF(N37=0," ",CONCATENATE(VLOOKUP(N37,Регистрация!$B$7:$N$39,3,FALSE)," ",VLOOKUP(N37,Регистрация!$B$7:$N$39,4,FALSE)))</f>
        <v xml:space="preserve"> </v>
      </c>
      <c r="P37" s="46"/>
      <c r="Q37" s="304"/>
      <c r="R37" s="165"/>
    </row>
    <row r="38" spans="1:18" ht="11.25" customHeight="1">
      <c r="A38" s="98">
        <v>27</v>
      </c>
      <c r="B38" s="570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70"/>
      <c r="D38" s="142"/>
      <c r="E38" s="110"/>
      <c r="F38" s="254"/>
      <c r="G38" s="254"/>
      <c r="H38" s="559"/>
      <c r="I38" s="559"/>
      <c r="J38" s="559"/>
      <c r="K38" s="559"/>
      <c r="L38" s="559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98">
        <v>28</v>
      </c>
    </row>
    <row r="39" spans="1:18" ht="12" customHeight="1">
      <c r="A39" s="165"/>
      <c r="B39" s="558"/>
      <c r="C39" s="558"/>
      <c r="D39" s="142"/>
      <c r="E39" s="110"/>
      <c r="F39" s="254"/>
      <c r="G39" s="254"/>
      <c r="H39" s="559" t="s">
        <v>25</v>
      </c>
      <c r="I39" s="559"/>
      <c r="J39" s="559"/>
      <c r="K39" s="559"/>
      <c r="L39" s="559"/>
      <c r="Q39" s="304"/>
      <c r="R39" s="165"/>
    </row>
    <row r="40" spans="1:18" ht="12" customHeight="1">
      <c r="D40" s="178"/>
      <c r="E40" s="128"/>
      <c r="H40" s="265"/>
      <c r="J40" s="108"/>
    </row>
    <row r="41" spans="1:18" ht="12" customHeight="1">
      <c r="A41" s="560" t="s">
        <v>16</v>
      </c>
      <c r="B41" s="560"/>
      <c r="C41" s="561"/>
      <c r="D41" s="561"/>
      <c r="E41" s="561"/>
      <c r="H41" s="98">
        <f>IF(H23=0,0,IF(H23=H15,H31,H15))</f>
        <v>0</v>
      </c>
      <c r="I41" s="562" t="str">
        <f>IF(H41=0," ",CONCATENATE(VLOOKUP(H41,Регистрация!$B$7:$N$39,3,FALSE)," ",VLOOKUP(H41,Регистрация!$B$7:$N$39,4,FALSE)))</f>
        <v xml:space="preserve"> </v>
      </c>
      <c r="J41" s="563" t="e">
        <f>IF(I41=0," ",CONCATENATE(VLOOKUP(I41,Регистрация!$B$7:$N$39,3,FALSE)," ",VLOOKUP(I41,Регистрация!$B$7:$N$39,4,FALSE)))</f>
        <v>#N/A</v>
      </c>
      <c r="K41" s="564" t="e">
        <f>IF(J41=0," ",CONCATENATE(VLOOKUP(J41,Регистрация!$B$7:$N$39,3,FALSE)," ",VLOOKUP(J41,Регистрация!$B$7:$N$39,4,FALSE)))</f>
        <v>#N/A</v>
      </c>
    </row>
    <row r="42" spans="1:18" ht="12" customHeight="1">
      <c r="A42" s="80"/>
      <c r="B42" s="319" t="s">
        <v>28</v>
      </c>
      <c r="C42" s="573" t="s">
        <v>17</v>
      </c>
      <c r="D42" s="574"/>
      <c r="E42" s="574"/>
      <c r="F42" s="575"/>
      <c r="H42" s="165"/>
      <c r="I42" s="320"/>
      <c r="J42" s="167"/>
      <c r="K42" s="167"/>
      <c r="L42" s="46"/>
      <c r="M42" s="568" t="str">
        <f>IF(L42=0," ",CONCATENATE(VLOOKUP(L42,Регистрация!$B$7:$N$39,3,FALSE)," ",VLOOKUP(L42,Регистрация!$B$7:$N$39,4,FALSE)))</f>
        <v xml:space="preserve"> </v>
      </c>
      <c r="N42" s="568"/>
    </row>
    <row r="43" spans="1:18" ht="12" customHeight="1">
      <c r="A43" s="89">
        <f>H9</f>
        <v>0</v>
      </c>
      <c r="B43" s="97">
        <v>1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  <c r="G43" s="111"/>
      <c r="H43" s="98">
        <f>IF(L23=0,0,IF(L23=L15,L31,L15))</f>
        <v>0</v>
      </c>
      <c r="I43" s="562" t="str">
        <f>IF(H43=0," ",CONCATENATE(VLOOKUP(H43,Регистрация!$B$7:$N$39,3,FALSE)," ",VLOOKUP(H43,Регистрация!$B$7:$N$39,4,FALSE)))</f>
        <v xml:space="preserve"> </v>
      </c>
      <c r="J43" s="563" t="e">
        <f>IF(I43=0," ",CONCATENATE(VLOOKUP(I43,Регистрация!$B$7:$N$39,3,FALSE)," ",VLOOKUP(I43,Регистрация!$B$7:$N$39,4,FALSE)))</f>
        <v>#N/A</v>
      </c>
      <c r="K43" s="564" t="e">
        <f>IF(J43=0," ",CONCATENATE(VLOOKUP(J43,Регистрация!$B$7:$N$39,3,FALSE)," ",VLOOKUP(J43,Регистрация!$B$7:$N$39,4,FALSE)))</f>
        <v>#N/A</v>
      </c>
    </row>
    <row r="44" spans="1:18" ht="12" customHeight="1">
      <c r="A44" s="89">
        <f>IF(H9=0,0,IF(H9=H23,L23,H23))</f>
        <v>0</v>
      </c>
      <c r="B44" s="97">
        <v>2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2" customHeight="1">
      <c r="A45" s="89">
        <f>L42</f>
        <v>0</v>
      </c>
      <c r="B45" s="97">
        <v>3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</row>
    <row r="46" spans="1:18" s="78" customFormat="1" ht="12" customHeight="1">
      <c r="A46" s="89">
        <f>IF(L42=0,0,IF(L42=H41,H43,H41))</f>
        <v>0</v>
      </c>
      <c r="B46" s="97">
        <v>4</v>
      </c>
      <c r="C46" s="551" t="str">
        <f>IF(A46=0," ",CONCATENATE(VLOOKUP(A46,Регистрация!$B$7:$N$39,3,FALSE)," ",VLOOKUP(A46,Регистрация!$B$7:$N$39,4,FALSE)," ",VLOOKUP(A46,Регистрация!$B$7:$N$39,5,FALSE)," ","(",VLOOKUP(A46,Регистрация!$B$7:$N$39,11,FALSE),")"))</f>
        <v xml:space="preserve"> </v>
      </c>
      <c r="D46" s="552"/>
      <c r="E46" s="552"/>
      <c r="F46" s="553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303"/>
    </row>
    <row r="47" spans="1:18" s="78" customFormat="1" ht="26.25" customHeight="1">
      <c r="A47" s="554" t="s">
        <v>26</v>
      </c>
      <c r="B47" s="554"/>
      <c r="C47" s="554"/>
      <c r="D47" s="178"/>
      <c r="E47" s="168"/>
      <c r="F47" s="168"/>
      <c r="G47" s="168"/>
      <c r="H47" s="321"/>
      <c r="I47" s="321"/>
      <c r="J47" s="321"/>
      <c r="K47" s="321"/>
      <c r="L47" s="321"/>
      <c r="M47" s="168"/>
      <c r="N47" s="168"/>
      <c r="O47" s="554" t="str">
        <f>Регистрация!N73</f>
        <v>Цыльев В.А. С1К</v>
      </c>
      <c r="P47" s="554"/>
      <c r="Q47" s="554"/>
      <c r="R47" s="322"/>
    </row>
    <row r="48" spans="1:18" s="78" customFormat="1" ht="15.75" customHeight="1">
      <c r="A48" s="178"/>
      <c r="B48" s="168"/>
      <c r="C48" s="168"/>
      <c r="D48" s="17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322"/>
    </row>
    <row r="49" spans="1:18" ht="13">
      <c r="A49" s="554" t="s">
        <v>27</v>
      </c>
      <c r="B49" s="554"/>
      <c r="C49" s="554"/>
      <c r="D49" s="178"/>
      <c r="E49" s="168"/>
      <c r="F49" s="168"/>
      <c r="G49" s="168"/>
      <c r="H49" s="321"/>
      <c r="I49" s="321"/>
      <c r="J49" s="321"/>
      <c r="K49" s="321"/>
      <c r="L49" s="321"/>
      <c r="M49" s="168"/>
      <c r="N49" s="168"/>
      <c r="O49" s="554" t="str">
        <f>Регистрация!N74</f>
        <v>Орлова Е.С 3 К</v>
      </c>
      <c r="P49" s="554"/>
      <c r="Q49" s="554"/>
      <c r="R49" s="322"/>
    </row>
    <row r="50" spans="1:18" ht="13">
      <c r="A50" s="77"/>
      <c r="D50" s="77"/>
      <c r="R50" s="77"/>
    </row>
    <row r="51" spans="1:18" ht="13">
      <c r="A51" s="77"/>
      <c r="D51" s="77"/>
      <c r="R51" s="77"/>
    </row>
    <row r="52" spans="1:18" ht="13">
      <c r="A52" s="77"/>
      <c r="D52" s="77"/>
      <c r="R52" s="77"/>
    </row>
    <row r="53" spans="1:18" ht="13">
      <c r="A53" s="77"/>
      <c r="D53" s="77"/>
      <c r="R53" s="77"/>
    </row>
    <row r="54" spans="1:18" ht="13">
      <c r="A54" s="77"/>
      <c r="D54" s="77"/>
      <c r="R54" s="77"/>
    </row>
    <row r="55" spans="1:18" ht="13">
      <c r="A55" s="77"/>
      <c r="D55" s="77"/>
      <c r="R55" s="77"/>
    </row>
    <row r="56" spans="1:18" ht="13">
      <c r="A56" s="77"/>
      <c r="D56" s="77"/>
      <c r="R56" s="77"/>
    </row>
    <row r="57" spans="1:18" ht="13">
      <c r="A57" s="77"/>
      <c r="D57" s="77"/>
      <c r="R57" s="77"/>
    </row>
    <row r="58" spans="1:18" ht="13">
      <c r="A58" s="77"/>
      <c r="D58" s="77"/>
      <c r="R58" s="77"/>
    </row>
    <row r="59" spans="1:18" ht="13">
      <c r="A59" s="77"/>
      <c r="D59" s="77"/>
      <c r="R59" s="77"/>
    </row>
    <row r="60" spans="1:18" ht="13">
      <c r="A60" s="77"/>
      <c r="D60" s="77"/>
      <c r="R60" s="77"/>
    </row>
    <row r="61" spans="1:18" ht="13">
      <c r="A61" s="77"/>
      <c r="D61" s="77"/>
      <c r="R61" s="77"/>
    </row>
    <row r="62" spans="1:18" ht="13">
      <c r="A62" s="77"/>
      <c r="D62" s="77"/>
      <c r="R62" s="77"/>
    </row>
    <row r="63" spans="1:18" ht="13">
      <c r="A63" s="77"/>
      <c r="D63" s="77"/>
      <c r="R63" s="77"/>
    </row>
    <row r="64" spans="1:18" ht="13">
      <c r="A64" s="77"/>
      <c r="D64" s="77"/>
      <c r="R64" s="77"/>
    </row>
    <row r="65" spans="1:4" s="77" customFormat="1" ht="13"/>
    <row r="66" spans="1:4" s="77" customFormat="1" ht="13">
      <c r="A66" s="84"/>
      <c r="D66" s="84"/>
    </row>
  </sheetData>
  <mergeCells count="54">
    <mergeCell ref="C46:F46"/>
    <mergeCell ref="A47:C47"/>
    <mergeCell ref="O47:Q47"/>
    <mergeCell ref="A49:C49"/>
    <mergeCell ref="O49:Q49"/>
    <mergeCell ref="B39:C39"/>
    <mergeCell ref="H39:L39"/>
    <mergeCell ref="A41:E41"/>
    <mergeCell ref="I41:K41"/>
    <mergeCell ref="M42:N42"/>
    <mergeCell ref="I43:K43"/>
    <mergeCell ref="C42:F42"/>
    <mergeCell ref="C43:F43"/>
    <mergeCell ref="C44:F44"/>
    <mergeCell ref="C45:F45"/>
    <mergeCell ref="B37:C37"/>
    <mergeCell ref="B38:C38"/>
    <mergeCell ref="H38:L38"/>
    <mergeCell ref="B31:C31"/>
    <mergeCell ref="B32:C32"/>
    <mergeCell ref="B33:C33"/>
    <mergeCell ref="B34:C34"/>
    <mergeCell ref="B35:C35"/>
    <mergeCell ref="B36:C36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9:E9"/>
    <mergeCell ref="I9:K9"/>
    <mergeCell ref="B10:C10"/>
    <mergeCell ref="I10:K10"/>
    <mergeCell ref="B11:C11"/>
    <mergeCell ref="B12:C12"/>
    <mergeCell ref="B13:C13"/>
    <mergeCell ref="B14:C14"/>
    <mergeCell ref="B15:C15"/>
    <mergeCell ref="B16:C16"/>
    <mergeCell ref="B17:C17"/>
    <mergeCell ref="B8:C8"/>
    <mergeCell ref="B1:Q1"/>
    <mergeCell ref="B3:Q3"/>
    <mergeCell ref="G5:M5"/>
    <mergeCell ref="G7:M7"/>
    <mergeCell ref="A5:E5"/>
  </mergeCells>
  <pageMargins left="0.28999999999999998" right="0.16" top="0.17" bottom="0.19" header="0.11" footer="0.15"/>
  <pageSetup paperSize="9" orientation="landscape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"/>
  <dimension ref="A1:R66"/>
  <sheetViews>
    <sheetView showGridLines="0" showZeros="0" topLeftCell="A4" workbookViewId="0">
      <selection activeCell="B8" sqref="B8:C8"/>
    </sheetView>
  </sheetViews>
  <sheetFormatPr defaultColWidth="9.1796875" defaultRowHeight="11.15" customHeight="1"/>
  <cols>
    <col min="1" max="1" width="1.81640625" style="94" bestFit="1" customWidth="1"/>
    <col min="2" max="2" width="5.7265625" style="77" bestFit="1" customWidth="1"/>
    <col min="3" max="3" width="23.7265625" style="77" customWidth="1"/>
    <col min="4" max="4" width="1.7265625" style="84" bestFit="1" customWidth="1"/>
    <col min="5" max="5" width="12.7265625" style="77" customWidth="1"/>
    <col min="6" max="6" width="1.7265625" style="77" bestFit="1" customWidth="1"/>
    <col min="7" max="7" width="12.7265625" style="77" customWidth="1"/>
    <col min="8" max="8" width="2" style="77" customWidth="1"/>
    <col min="9" max="9" width="12.7265625" style="77" customWidth="1"/>
    <col min="10" max="10" width="0.453125" style="77" customWidth="1"/>
    <col min="11" max="11" width="12.7265625" style="77" customWidth="1"/>
    <col min="12" max="12" width="2" style="77" bestFit="1" customWidth="1"/>
    <col min="13" max="13" width="12.7265625" style="77" customWidth="1"/>
    <col min="14" max="14" width="2" style="77" bestFit="1" customWidth="1"/>
    <col min="15" max="15" width="12.7265625" style="77" customWidth="1"/>
    <col min="16" max="16" width="2" style="77" bestFit="1" customWidth="1"/>
    <col min="17" max="17" width="23.7265625" style="77" customWidth="1"/>
    <col min="18" max="18" width="1.81640625" style="138" bestFit="1" customWidth="1"/>
    <col min="19" max="16384" width="9.1796875" style="77"/>
  </cols>
  <sheetData>
    <row r="1" spans="1:18" ht="14.25" customHeight="1">
      <c r="A1" s="91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</row>
    <row r="2" spans="1:18" ht="6" customHeight="1">
      <c r="A2" s="92"/>
      <c r="B2" s="139"/>
      <c r="C2" s="139"/>
      <c r="D2" s="83"/>
      <c r="E2" s="139"/>
      <c r="F2" s="139"/>
      <c r="G2" s="139"/>
      <c r="H2" s="139"/>
      <c r="I2" s="139"/>
      <c r="J2" s="76"/>
    </row>
    <row r="3" spans="1:18" ht="12.75" customHeight="1">
      <c r="A3" s="93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</row>
    <row r="4" spans="1:18" ht="5.25" customHeight="1">
      <c r="J4" s="78"/>
    </row>
    <row r="5" spans="1:18" s="96" customFormat="1" ht="12.75" customHeight="1">
      <c r="A5" s="572" t="str">
        <f>Регистрация!A3</f>
        <v>Женщины 18 +  ОК-двоеборье</v>
      </c>
      <c r="B5" s="572"/>
      <c r="C5" s="572"/>
      <c r="D5" s="572"/>
      <c r="E5" s="572"/>
      <c r="F5" s="95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O5" s="33" t="str">
        <f>Регистрация!L3</f>
        <v>27 сентября 2025</v>
      </c>
      <c r="P5" s="275" t="s">
        <v>45</v>
      </c>
      <c r="Q5" s="34">
        <f>Регистрация!N3</f>
        <v>0</v>
      </c>
      <c r="R5" s="140"/>
    </row>
    <row r="6" spans="1:18" s="145" customFormat="1" ht="12.75" customHeight="1">
      <c r="A6" s="94"/>
      <c r="B6" s="144"/>
      <c r="C6" s="105"/>
      <c r="D6" s="142"/>
      <c r="E6" s="107"/>
      <c r="F6" s="105"/>
      <c r="G6" s="108"/>
      <c r="H6" s="108"/>
      <c r="I6" s="143"/>
      <c r="J6" s="108"/>
      <c r="K6" s="144"/>
      <c r="R6" s="138"/>
    </row>
    <row r="7" spans="1:18" s="145" customFormat="1" ht="15.5">
      <c r="A7" s="94"/>
      <c r="B7" s="144"/>
      <c r="C7" s="105"/>
      <c r="D7" s="142"/>
      <c r="E7" s="107"/>
      <c r="F7" s="105"/>
      <c r="G7" s="571" t="s">
        <v>18</v>
      </c>
      <c r="H7" s="571"/>
      <c r="I7" s="571"/>
      <c r="J7" s="571"/>
      <c r="K7" s="571"/>
      <c r="L7" s="571"/>
      <c r="M7" s="571"/>
      <c r="R7" s="138"/>
    </row>
    <row r="8" spans="1:18" s="133" customFormat="1" ht="11.25" customHeight="1">
      <c r="A8" s="328">
        <v>1</v>
      </c>
      <c r="B8" s="570" t="str">
        <f>IF(Регистрация!$D$6&lt;A8," ",CONCATENATE(VLOOKUP(A8,Регистрация!$B$7:$N$39,3,FALSE)," ",VLOOKUP(A8,Регистрация!$B$7:$N$39,4,FALSE)," ","(",VLOOKUP(A8,Регистрация!$B$7:$N$39,11,FALSE),")"))</f>
        <v>Сугралиева Арина (Политех)</v>
      </c>
      <c r="C8" s="570"/>
      <c r="D8" s="84"/>
      <c r="E8" s="111"/>
      <c r="F8" s="108"/>
      <c r="G8" s="108"/>
      <c r="H8" s="108"/>
      <c r="I8" s="84"/>
      <c r="J8" s="84"/>
      <c r="K8" s="255"/>
      <c r="Q8" s="35" t="str">
        <f>IF(Регистрация!$D$6&lt;R8," ",CONCATENATE(VLOOKUP(R8,Регистрация!$B$7:$N$39,3,FALSE)," ",VLOOKUP(R8,Регистрация!$B$7:$N$39,4,FALSE)," ","(",VLOOKUP(R8,Регистрация!$B$7:$N$39,11,FALSE),")"))</f>
        <v>Хохлова Элина (WSKF)</v>
      </c>
      <c r="R8" s="328">
        <v>2</v>
      </c>
    </row>
    <row r="9" spans="1:18" s="305" customFormat="1" ht="11.25" customHeight="1">
      <c r="A9" s="329"/>
      <c r="B9" s="558"/>
      <c r="C9" s="558"/>
      <c r="D9" s="46"/>
      <c r="E9" s="259" t="str">
        <f>IF(D9=0," ",CONCATENATE(VLOOKUP(D9,Регистрация!$B$7:$N$39,3,FALSE)," ",VLOOKUP(D9,Регистрация!$B$7:$N$39,4,FALSE)))</f>
        <v xml:space="preserve"> </v>
      </c>
      <c r="F9" s="108"/>
      <c r="G9" s="108"/>
      <c r="H9" s="46"/>
      <c r="I9" s="562" t="str">
        <f>IF(H9=0," ",CONCATENATE(VLOOKUP(H9,Регистрация!$B$7:$N$39,3,FALSE)," ",VLOOKUP(H9,Регистрация!$B$7:$N$39,4,FALSE)))</f>
        <v xml:space="preserve"> </v>
      </c>
      <c r="J9" s="563"/>
      <c r="K9" s="564"/>
      <c r="O9" s="35" t="str">
        <f>IF(P9=0," ",CONCATENATE(VLOOKUP(P9,Регистрация!$B$7:$N$39,3,FALSE)," ",VLOOKUP(P9,Регистрация!$B$7:$N$39,4,FALSE)))</f>
        <v xml:space="preserve"> </v>
      </c>
      <c r="P9" s="46"/>
      <c r="Q9" s="304"/>
      <c r="R9" s="329"/>
    </row>
    <row r="10" spans="1:18" s="145" customFormat="1" ht="11.25" customHeight="1">
      <c r="A10" s="328">
        <v>17</v>
      </c>
      <c r="B10" s="570" t="str">
        <f>IF(Регистрация!$D$6&lt;A10," ",CONCATENATE(VLOOKUP(A10,Регистрация!$B$7:$N$39,3,FALSE)," ",VLOOKUP(A10,Регистрация!$B$7:$N$39,4,FALSE)," ","(",VLOOKUP(A10,Регистрация!$B$7:$N$39,11,FALSE),")"))</f>
        <v xml:space="preserve"> </v>
      </c>
      <c r="C10" s="570"/>
      <c r="D10" s="47"/>
      <c r="E10" s="326"/>
      <c r="F10" s="108"/>
      <c r="G10" s="108"/>
      <c r="H10" s="45"/>
      <c r="I10" s="569" t="s">
        <v>0</v>
      </c>
      <c r="J10" s="569"/>
      <c r="K10" s="569"/>
      <c r="O10" s="327"/>
      <c r="P10" s="47"/>
      <c r="Q10" s="35" t="str">
        <f>IF(Регистрация!$D$6&lt;R10," ",CONCATENATE(VLOOKUP(R10,Регистрация!$B$7:$N$39,3,FALSE)," ",VLOOKUP(R10,Регистрация!$B$7:$N$39,4,FALSE)," ","(",VLOOKUP(R10,Регистрация!$B$7:$N$39,11,FALSE),")"))</f>
        <v xml:space="preserve"> </v>
      </c>
      <c r="R10" s="328">
        <v>18</v>
      </c>
    </row>
    <row r="11" spans="1:18" s="133" customFormat="1" ht="11.25" customHeight="1">
      <c r="A11" s="329"/>
      <c r="B11" s="558"/>
      <c r="C11" s="558"/>
      <c r="D11" s="47"/>
      <c r="E11" s="306"/>
      <c r="F11" s="48"/>
      <c r="G11" s="257" t="str">
        <f>IF(F11=0," ",CONCATENATE(VLOOKUP(F11,Регистрация!$B$7:$N$39,3,FALSE)," ",VLOOKUP(F11,Регистрация!$B$7:$N$39,4,FALSE)))</f>
        <v xml:space="preserve"> </v>
      </c>
      <c r="H11" s="45"/>
      <c r="I11" s="108"/>
      <c r="J11" s="108"/>
      <c r="K11" s="255"/>
      <c r="M11" s="36" t="str">
        <f>IF(N11=0," ",CONCATENATE(VLOOKUP(N11,Регистрация!$B$7:$N$39,3,FALSE)," ",VLOOKUP(N11,Регистрация!$B$7:$N$39,4,FALSE)))</f>
        <v xml:space="preserve"> </v>
      </c>
      <c r="N11" s="49"/>
      <c r="O11" s="307"/>
      <c r="P11" s="47"/>
      <c r="Q11" s="304"/>
      <c r="R11" s="329"/>
    </row>
    <row r="12" spans="1:18" s="145" customFormat="1" ht="11.25" customHeight="1">
      <c r="A12" s="328">
        <v>9</v>
      </c>
      <c r="B12" s="570" t="str">
        <f>IF(Регистрация!$D$6&lt;A12," ",CONCATENATE(VLOOKUP(A12,Регистрация!$B$7:$N$39,3,FALSE)," ",VLOOKUP(A12,Регистрация!$B$7:$N$39,4,FALSE)," ","(",VLOOKUP(A12,Регистрация!$B$7:$N$39,11,FALSE),")"))</f>
        <v xml:space="preserve"> </v>
      </c>
      <c r="C12" s="570"/>
      <c r="D12" s="47"/>
      <c r="E12" s="308"/>
      <c r="F12" s="47"/>
      <c r="G12" s="309"/>
      <c r="H12" s="45"/>
      <c r="I12" s="105"/>
      <c r="J12" s="105"/>
      <c r="K12" s="105"/>
      <c r="M12" s="310"/>
      <c r="N12" s="47"/>
      <c r="O12" s="323"/>
      <c r="P12" s="47"/>
      <c r="Q12" s="35" t="str">
        <f>IF(Регистрация!$D$6&lt;R12," ",CONCATENATE(VLOOKUP(R12,Регистрация!$B$7:$N$39,3,FALSE)," ",VLOOKUP(R12,Регистрация!$B$7:$N$39,4,FALSE)," ","(",VLOOKUP(R12,Регистрация!$B$7:$N$39,11,FALSE),")"))</f>
        <v xml:space="preserve"> </v>
      </c>
      <c r="R12" s="328">
        <v>10</v>
      </c>
    </row>
    <row r="13" spans="1:18" s="133" customFormat="1" ht="11.25" customHeight="1">
      <c r="A13" s="329"/>
      <c r="B13" s="558"/>
      <c r="C13" s="558"/>
      <c r="D13" s="46"/>
      <c r="E13" s="259" t="str">
        <f>IF(D13=0," ",CONCATENATE(VLOOKUP(D13,Регистрация!$B$7:$N$39,3,FALSE)," ",VLOOKUP(D13,Регистрация!$B$7:$N$39,4,FALSE)))</f>
        <v xml:space="preserve"> </v>
      </c>
      <c r="F13" s="47"/>
      <c r="G13" s="311"/>
      <c r="H13" s="45"/>
      <c r="I13" s="108"/>
      <c r="J13" s="108"/>
      <c r="K13" s="255"/>
      <c r="M13" s="312"/>
      <c r="N13" s="47"/>
      <c r="O13" s="35" t="str">
        <f>IF(P13=0," ",CONCATENATE(VLOOKUP(P13,Регистрация!$B$7:$N$39,3,FALSE)," ",VLOOKUP(P13,Регистрация!$B$7:$N$39,4,FALSE)))</f>
        <v xml:space="preserve"> </v>
      </c>
      <c r="P13" s="46"/>
      <c r="Q13" s="304"/>
      <c r="R13" s="329"/>
    </row>
    <row r="14" spans="1:18" s="133" customFormat="1" ht="11.25" customHeight="1">
      <c r="A14" s="328">
        <v>25</v>
      </c>
      <c r="B14" s="570" t="str">
        <f>IF(Регистрация!$D$6&lt;A14," ",CONCATENATE(VLOOKUP(A14,Регистрация!$B$7:$N$39,3,FALSE)," ",VLOOKUP(A14,Регистрация!$B$7:$N$39,4,FALSE)," ","(",VLOOKUP(A14,Регистрация!$B$7:$N$39,11,FALSE),")"))</f>
        <v xml:space="preserve"> </v>
      </c>
      <c r="C14" s="570"/>
      <c r="D14" s="47"/>
      <c r="E14" s="313"/>
      <c r="F14" s="47"/>
      <c r="G14" s="311"/>
      <c r="H14" s="45"/>
      <c r="I14" s="96"/>
      <c r="J14" s="96"/>
      <c r="K14" s="255"/>
      <c r="M14" s="312"/>
      <c r="N14" s="47"/>
      <c r="O14" s="304"/>
      <c r="P14" s="47"/>
      <c r="Q14" s="35" t="str">
        <f>IF(Регистрация!$D$6&lt;R14," ",CONCATENATE(VLOOKUP(R14,Регистрация!$B$7:$N$39,3,FALSE)," ",VLOOKUP(R14,Регистрация!$B$7:$N$39,4,FALSE)," ","(",VLOOKUP(R14,Регистрация!$B$7:$N$39,11,FALSE),")"))</f>
        <v xml:space="preserve"> </v>
      </c>
      <c r="R14" s="328">
        <v>26</v>
      </c>
    </row>
    <row r="15" spans="1:18" ht="11.25" customHeight="1">
      <c r="A15" s="329"/>
      <c r="B15" s="558"/>
      <c r="C15" s="558"/>
      <c r="D15" s="47"/>
      <c r="E15" s="313"/>
      <c r="F15" s="47"/>
      <c r="G15" s="311"/>
      <c r="H15" s="48"/>
      <c r="I15" s="257" t="str">
        <f>IF(H15=0," ",CONCATENATE(VLOOKUP(H15,Регистрация!$B$7:$N$39,3,FALSE)," ",VLOOKUP(H15,Регистрация!$B$7:$N$39,4,FALSE)))</f>
        <v xml:space="preserve"> </v>
      </c>
      <c r="J15" s="105"/>
      <c r="K15" s="36" t="str">
        <f>IF(L15=0," ",CONCATENATE(VLOOKUP(L15,Регистрация!$B$7:$N$39,3,FALSE)," ",VLOOKUP(L15,Регистрация!$B$7:$N$39,4,FALSE)))</f>
        <v xml:space="preserve"> </v>
      </c>
      <c r="L15" s="49"/>
      <c r="M15" s="312"/>
      <c r="N15" s="47"/>
      <c r="O15" s="304"/>
      <c r="P15" s="47"/>
      <c r="Q15" s="304"/>
      <c r="R15" s="329"/>
    </row>
    <row r="16" spans="1:18" ht="11.25" customHeight="1">
      <c r="A16" s="328">
        <v>5</v>
      </c>
      <c r="B16" s="570" t="str">
        <f>IF(Регистрация!$D$6&lt;A16," ",CONCATENATE(VLOOKUP(A16,Регистрация!$B$7:$N$39,3,FALSE)," ",VLOOKUP(A16,Регистрация!$B$7:$N$39,4,FALSE)," ","(",VLOOKUP(A16,Регистрация!$B$7:$N$39,11,FALSE),")"))</f>
        <v>Носкова Александра (Политех)</v>
      </c>
      <c r="C16" s="570"/>
      <c r="D16" s="47"/>
      <c r="E16" s="313"/>
      <c r="F16" s="47"/>
      <c r="G16" s="311"/>
      <c r="H16" s="47"/>
      <c r="I16" s="309"/>
      <c r="J16" s="123"/>
      <c r="K16" s="310"/>
      <c r="L16" s="47"/>
      <c r="M16" s="312"/>
      <c r="N16" s="47"/>
      <c r="O16" s="304"/>
      <c r="P16" s="47"/>
      <c r="Q16" s="35" t="str">
        <f>IF(Регистрация!$D$6&lt;R16," ",CONCATENATE(VLOOKUP(R16,Регистрация!$B$7:$N$39,3,FALSE)," ",VLOOKUP(R16,Регистрация!$B$7:$N$39,4,FALSE)," ","(",VLOOKUP(R16,Регистрация!$B$7:$N$39,11,FALSE),")"))</f>
        <v>Павлова Мария (Политех)</v>
      </c>
      <c r="R16" s="328">
        <v>6</v>
      </c>
    </row>
    <row r="17" spans="1:18" ht="11.25" customHeight="1">
      <c r="A17" s="329"/>
      <c r="B17" s="558"/>
      <c r="C17" s="558"/>
      <c r="D17" s="46"/>
      <c r="E17" s="259" t="str">
        <f>IF(D17=0," ",CONCATENATE(VLOOKUP(D17,Регистрация!$B$7:$N$39,3,FALSE)," ",VLOOKUP(D17,Регистрация!$B$7:$N$39,4,FALSE)))</f>
        <v xml:space="preserve"> </v>
      </c>
      <c r="F17" s="47"/>
      <c r="G17" s="311"/>
      <c r="H17" s="47"/>
      <c r="I17" s="311"/>
      <c r="J17" s="108"/>
      <c r="K17" s="312"/>
      <c r="L17" s="47"/>
      <c r="M17" s="312"/>
      <c r="N17" s="47"/>
      <c r="O17" s="35" t="str">
        <f>IF(P17=0," ",CONCATENATE(VLOOKUP(P17,Регистрация!$B$7:$N$39,3,FALSE)," ",VLOOKUP(P17,Регистрация!$B$7:$N$39,4,FALSE)))</f>
        <v xml:space="preserve"> </v>
      </c>
      <c r="P17" s="46"/>
      <c r="Q17" s="304"/>
      <c r="R17" s="329"/>
    </row>
    <row r="18" spans="1:18" ht="11.25" customHeight="1">
      <c r="A18" s="328">
        <v>21</v>
      </c>
      <c r="B18" s="570" t="str">
        <f>IF(Регистрация!$D$6&lt;A18," ",CONCATENATE(VLOOKUP(A18,Регистрация!$B$7:$N$39,3,FALSE)," ",VLOOKUP(A18,Регистрация!$B$7:$N$39,4,FALSE)," ","(",VLOOKUP(A18,Регистрация!$B$7:$N$39,11,FALSE),")"))</f>
        <v xml:space="preserve"> </v>
      </c>
      <c r="C18" s="570"/>
      <c r="D18" s="47"/>
      <c r="E18" s="326"/>
      <c r="F18" s="47"/>
      <c r="G18" s="314"/>
      <c r="H18" s="47"/>
      <c r="I18" s="311"/>
      <c r="J18" s="108"/>
      <c r="K18" s="312"/>
      <c r="L18" s="47"/>
      <c r="M18" s="315"/>
      <c r="N18" s="47"/>
      <c r="O18" s="327"/>
      <c r="P18" s="47"/>
      <c r="Q18" s="35" t="str">
        <f>IF(Регистрация!$D$6&lt;R18," ",CONCATENATE(VLOOKUP(R18,Регистрация!$B$7:$N$39,3,FALSE)," ",VLOOKUP(R18,Регистрация!$B$7:$N$39,4,FALSE)," ","(",VLOOKUP(R18,Регистрация!$B$7:$N$39,11,FALSE),")"))</f>
        <v xml:space="preserve"> </v>
      </c>
      <c r="R18" s="328">
        <v>22</v>
      </c>
    </row>
    <row r="19" spans="1:18" ht="11.25" customHeight="1">
      <c r="A19" s="329"/>
      <c r="B19" s="558"/>
      <c r="C19" s="558"/>
      <c r="D19" s="47"/>
      <c r="E19" s="306"/>
      <c r="F19" s="48"/>
      <c r="G19" s="257" t="str">
        <f>IF(F19=0," ",CONCATENATE(VLOOKUP(F19,Регистрация!$B$7:$N$39,3,FALSE)," ",VLOOKUP(F19,Регистрация!$B$7:$N$39,4,FALSE)))</f>
        <v xml:space="preserve"> </v>
      </c>
      <c r="H19" s="47"/>
      <c r="I19" s="311"/>
      <c r="J19" s="108"/>
      <c r="K19" s="312"/>
      <c r="L19" s="47"/>
      <c r="M19" s="36" t="str">
        <f>IF(N19=0," ",CONCATENATE(VLOOKUP(N19,Регистрация!$B$7:$N$39,3,FALSE)," ",VLOOKUP(N19,Регистрация!$B$7:$N$39,4,FALSE)))</f>
        <v xml:space="preserve"> </v>
      </c>
      <c r="N19" s="49"/>
      <c r="O19" s="307"/>
      <c r="P19" s="47"/>
      <c r="Q19" s="304"/>
      <c r="R19" s="329"/>
    </row>
    <row r="20" spans="1:18" ht="11.25" customHeight="1">
      <c r="A20" s="328">
        <v>13</v>
      </c>
      <c r="B20" s="570" t="str">
        <f>IF(Регистрация!$D$6&lt;A20," ",CONCATENATE(VLOOKUP(A20,Регистрация!$B$7:$N$39,3,FALSE)," ",VLOOKUP(A20,Регистрация!$B$7:$N$39,4,FALSE)," ","(",VLOOKUP(A20,Регистрация!$B$7:$N$39,11,FALSE),")"))</f>
        <v xml:space="preserve"> </v>
      </c>
      <c r="C20" s="570"/>
      <c r="D20" s="47"/>
      <c r="E20" s="308"/>
      <c r="F20" s="47"/>
      <c r="G20" s="316"/>
      <c r="H20" s="47"/>
      <c r="I20" s="311"/>
      <c r="J20" s="125"/>
      <c r="K20" s="312"/>
      <c r="L20" s="47"/>
      <c r="M20" s="317"/>
      <c r="N20" s="47"/>
      <c r="O20" s="323"/>
      <c r="P20" s="47"/>
      <c r="Q20" s="35" t="str">
        <f>IF(Регистрация!$D$6&lt;R20," ",CONCATENATE(VLOOKUP(R20,Регистрация!$B$7:$N$39,3,FALSE)," ",VLOOKUP(R20,Регистрация!$B$7:$N$39,4,FALSE)," ","(",VLOOKUP(R20,Регистрация!$B$7:$N$39,11,FALSE),")"))</f>
        <v xml:space="preserve"> </v>
      </c>
      <c r="R20" s="328">
        <v>14</v>
      </c>
    </row>
    <row r="21" spans="1:18" ht="11.25" customHeight="1">
      <c r="A21" s="329"/>
      <c r="B21" s="558"/>
      <c r="C21" s="558"/>
      <c r="D21" s="46"/>
      <c r="E21" s="259" t="str">
        <f>IF(D21=0," ",CONCATENATE(VLOOKUP(D21,Регистрация!$B$7:$N$39,3,FALSE)," ",VLOOKUP(D21,Регистрация!$B$7:$N$39,4,FALSE)))</f>
        <v xml:space="preserve"> </v>
      </c>
      <c r="F21" s="47"/>
      <c r="G21" s="316"/>
      <c r="H21" s="47"/>
      <c r="I21" s="311"/>
      <c r="K21" s="312"/>
      <c r="L21" s="47"/>
      <c r="M21" s="317"/>
      <c r="N21" s="47"/>
      <c r="O21" s="35" t="str">
        <f>IF(P21=0," ",CONCATENATE(VLOOKUP(P21,Регистрация!$B$7:$N$39,3,FALSE)," ",VLOOKUP(P21,Регистрация!$B$7:$N$39,4,FALSE)))</f>
        <v xml:space="preserve"> </v>
      </c>
      <c r="P21" s="46"/>
      <c r="Q21" s="304"/>
      <c r="R21" s="329"/>
    </row>
    <row r="22" spans="1:18" ht="11.25" customHeight="1">
      <c r="A22" s="328">
        <v>29</v>
      </c>
      <c r="B22" s="570" t="str">
        <f>IF(Регистрация!$D$6&lt;A22," ",CONCATENATE(VLOOKUP(A22,Регистрация!$B$7:$N$39,3,FALSE)," ",VLOOKUP(A22,Регистрация!$B$7:$N$39,4,FALSE)," ","(",VLOOKUP(A22,Регистрация!$B$7:$N$39,11,FALSE),")"))</f>
        <v xml:space="preserve"> </v>
      </c>
      <c r="C22" s="570"/>
      <c r="D22" s="47"/>
      <c r="E22" s="313"/>
      <c r="F22" s="47"/>
      <c r="G22" s="316"/>
      <c r="H22" s="47"/>
      <c r="I22" s="311"/>
      <c r="J22" s="110"/>
      <c r="K22" s="312"/>
      <c r="L22" s="47"/>
      <c r="M22" s="317"/>
      <c r="N22" s="47"/>
      <c r="O22" s="304"/>
      <c r="P22" s="47"/>
      <c r="Q22" s="35" t="str">
        <f>IF(Регистрация!$D$6&lt;R22," ",CONCATENATE(VLOOKUP(R22,Регистрация!$B$7:$N$39,3,FALSE)," ",VLOOKUP(R22,Регистрация!$B$7:$N$39,4,FALSE)," ","(",VLOOKUP(R22,Регистрация!$B$7:$N$39,11,FALSE),")"))</f>
        <v xml:space="preserve"> </v>
      </c>
      <c r="R22" s="328">
        <v>30</v>
      </c>
    </row>
    <row r="23" spans="1:18" ht="11.25" customHeight="1">
      <c r="A23" s="329"/>
      <c r="B23" s="558"/>
      <c r="C23" s="558"/>
      <c r="D23" s="47"/>
      <c r="E23" s="313"/>
      <c r="F23" s="47"/>
      <c r="G23" s="316"/>
      <c r="H23" s="46"/>
      <c r="I23" s="257" t="str">
        <f>IF(H23=0," ",CONCATENATE(VLOOKUP(H23,Регистрация!$B$7:$N$39,3,FALSE)," ",VLOOKUP(H23,Регистрация!$B$7:$N$39,4,FALSE)))</f>
        <v xml:space="preserve"> </v>
      </c>
      <c r="K23" s="36" t="str">
        <f>IF(L23=0," ",CONCATENATE(VLOOKUP(L23,Регистрация!$B$7:$N$39,3,FALSE)," ",VLOOKUP(L23,Регистрация!$B$7:$N$39,4,FALSE)))</f>
        <v xml:space="preserve"> </v>
      </c>
      <c r="L23" s="46"/>
      <c r="M23" s="317"/>
      <c r="N23" s="47"/>
      <c r="O23" s="304"/>
      <c r="P23" s="47"/>
      <c r="Q23" s="304"/>
      <c r="R23" s="329"/>
    </row>
    <row r="24" spans="1:18" ht="11.25" customHeight="1">
      <c r="A24" s="328">
        <v>3</v>
      </c>
      <c r="B24" s="570" t="str">
        <f>IF(Регистрация!$D$6&lt;A24," ",CONCATENATE(VLOOKUP(A24,Регистрация!$B$7:$N$39,3,FALSE)," ",VLOOKUP(A24,Регистрация!$B$7:$N$39,4,FALSE)," ","(",VLOOKUP(A24,Регистрация!$B$7:$N$39,11,FALSE),")"))</f>
        <v>Паранина Полина (Политех)</v>
      </c>
      <c r="C24" s="570"/>
      <c r="D24" s="47"/>
      <c r="E24" s="313"/>
      <c r="F24" s="47"/>
      <c r="G24" s="316"/>
      <c r="H24" s="47"/>
      <c r="I24" s="311"/>
      <c r="K24" s="312"/>
      <c r="L24" s="47"/>
      <c r="M24" s="317"/>
      <c r="N24" s="47"/>
      <c r="O24" s="304"/>
      <c r="P24" s="47"/>
      <c r="Q24" s="35" t="str">
        <f>IF(Регистрация!$D$6&lt;R24," ",CONCATENATE(VLOOKUP(R24,Регистрация!$B$7:$N$39,3,FALSE)," ",VLOOKUP(R24,Регистрация!$B$7:$N$39,4,FALSE)," ","(",VLOOKUP(R24,Регистрация!$B$7:$N$39,11,FALSE),")"))</f>
        <v>Шайдулина Алина (Политех)</v>
      </c>
      <c r="R24" s="328">
        <v>4</v>
      </c>
    </row>
    <row r="25" spans="1:18" ht="11.25" customHeight="1">
      <c r="A25" s="329"/>
      <c r="B25" s="558"/>
      <c r="C25" s="558"/>
      <c r="D25" s="46"/>
      <c r="E25" s="259" t="str">
        <f>IF(D25=0," ",CONCATENATE(VLOOKUP(D25,Регистрация!$B$7:$N$39,3,FALSE)," ",VLOOKUP(D25,Регистрация!$B$7:$N$39,4,FALSE)))</f>
        <v xml:space="preserve"> </v>
      </c>
      <c r="F25" s="47"/>
      <c r="G25" s="316"/>
      <c r="H25" s="47"/>
      <c r="I25" s="311"/>
      <c r="K25" s="312"/>
      <c r="L25" s="47"/>
      <c r="M25" s="317"/>
      <c r="N25" s="47"/>
      <c r="O25" s="35" t="str">
        <f>IF(P25=0," ",CONCATENATE(VLOOKUP(P25,Регистрация!$B$7:$N$39,3,FALSE)," ",VLOOKUP(P25,Регистрация!$B$7:$N$39,4,FALSE)))</f>
        <v xml:space="preserve"> </v>
      </c>
      <c r="P25" s="46"/>
      <c r="Q25" s="304"/>
      <c r="R25" s="329"/>
    </row>
    <row r="26" spans="1:18" ht="11.25" customHeight="1">
      <c r="A26" s="328">
        <v>19</v>
      </c>
      <c r="B26" s="570" t="str">
        <f>IF(Регистрация!$D$6&lt;A26," ",CONCATENATE(VLOOKUP(A26,Регистрация!$B$7:$N$39,3,FALSE)," ",VLOOKUP(A26,Регистрация!$B$7:$N$39,4,FALSE)," ","(",VLOOKUP(A26,Регистрация!$B$7:$N$39,11,FALSE),")"))</f>
        <v xml:space="preserve"> </v>
      </c>
      <c r="C26" s="570"/>
      <c r="D26" s="47"/>
      <c r="E26" s="326"/>
      <c r="F26" s="47"/>
      <c r="G26" s="316"/>
      <c r="H26" s="47"/>
      <c r="I26" s="311"/>
      <c r="K26" s="312"/>
      <c r="L26" s="47"/>
      <c r="M26" s="317"/>
      <c r="N26" s="47"/>
      <c r="O26" s="327"/>
      <c r="P26" s="47"/>
      <c r="Q26" s="35" t="str">
        <f>IF(Регистрация!$D$6&lt;R26," ",CONCATENATE(VLOOKUP(R26,Регистрация!$B$7:$N$39,3,FALSE)," ",VLOOKUP(R26,Регистрация!$B$7:$N$39,4,FALSE)," ","(",VLOOKUP(R26,Регистрация!$B$7:$N$39,11,FALSE),")"))</f>
        <v xml:space="preserve"> </v>
      </c>
      <c r="R26" s="328">
        <v>20</v>
      </c>
    </row>
    <row r="27" spans="1:18" ht="11.25" customHeight="1">
      <c r="A27" s="329"/>
      <c r="B27" s="558"/>
      <c r="C27" s="558"/>
      <c r="D27" s="47"/>
      <c r="E27" s="306"/>
      <c r="F27" s="48"/>
      <c r="G27" s="257" t="str">
        <f>IF(F27=0," ",CONCATENATE(VLOOKUP(F27,Регистрация!$B$7:$N$39,3,FALSE)," ",VLOOKUP(F27,Регистрация!$B$7:$N$39,4,FALSE)))</f>
        <v xml:space="preserve"> </v>
      </c>
      <c r="H27" s="47"/>
      <c r="I27" s="311"/>
      <c r="K27" s="312"/>
      <c r="L27" s="47"/>
      <c r="M27" s="36" t="str">
        <f>IF(N27=0," ",CONCATENATE(VLOOKUP(N27,Регистрация!$B$7:$N$39,3,FALSE)," ",VLOOKUP(N27,Регистрация!$B$7:$N$39,4,FALSE)))</f>
        <v xml:space="preserve"> </v>
      </c>
      <c r="N27" s="49"/>
      <c r="O27" s="307"/>
      <c r="P27" s="47"/>
      <c r="Q27" s="304"/>
      <c r="R27" s="329"/>
    </row>
    <row r="28" spans="1:18" ht="11.25" customHeight="1">
      <c r="A28" s="328">
        <v>11</v>
      </c>
      <c r="B28" s="570" t="str">
        <f>IF(Регистрация!$D$6&lt;A28," ",CONCATENATE(VLOOKUP(A28,Регистрация!$B$7:$N$39,3,FALSE)," ",VLOOKUP(A28,Регистрация!$B$7:$N$39,4,FALSE)," ","(",VLOOKUP(A28,Регистрация!$B$7:$N$39,11,FALSE),")"))</f>
        <v xml:space="preserve"> </v>
      </c>
      <c r="C28" s="570"/>
      <c r="D28" s="47"/>
      <c r="E28" s="308"/>
      <c r="F28" s="47"/>
      <c r="G28" s="309"/>
      <c r="H28" s="47"/>
      <c r="I28" s="311"/>
      <c r="K28" s="312"/>
      <c r="L28" s="47"/>
      <c r="M28" s="310"/>
      <c r="N28" s="47"/>
      <c r="O28" s="323"/>
      <c r="P28" s="47"/>
      <c r="Q28" s="35" t="str">
        <f>IF(Регистрация!$D$6&lt;R28," ",CONCATENATE(VLOOKUP(R28,Регистрация!$B$7:$N$39,3,FALSE)," ",VLOOKUP(R28,Регистрация!$B$7:$N$39,4,FALSE)," ","(",VLOOKUP(R28,Регистрация!$B$7:$N$39,11,FALSE),")"))</f>
        <v xml:space="preserve"> </v>
      </c>
      <c r="R28" s="328">
        <v>12</v>
      </c>
    </row>
    <row r="29" spans="1:18" ht="11.25" customHeight="1">
      <c r="A29" s="329"/>
      <c r="B29" s="558"/>
      <c r="C29" s="558"/>
      <c r="D29" s="46"/>
      <c r="E29" s="259" t="str">
        <f>IF(D29=0," ",CONCATENATE(VLOOKUP(D29,Регистрация!$B$7:$N$39,3,FALSE)," ",VLOOKUP(D29,Регистрация!$B$7:$N$39,4,FALSE)))</f>
        <v xml:space="preserve"> </v>
      </c>
      <c r="F29" s="47"/>
      <c r="G29" s="311"/>
      <c r="H29" s="47"/>
      <c r="I29" s="311"/>
      <c r="K29" s="312"/>
      <c r="L29" s="47"/>
      <c r="M29" s="312"/>
      <c r="N29" s="47"/>
      <c r="O29" s="35" t="str">
        <f>IF(P29=0," ",CONCATENATE(VLOOKUP(P29,Регистрация!$B$7:$N$39,3,FALSE)," ",VLOOKUP(P29,Регистрация!$B$7:$N$39,4,FALSE)))</f>
        <v xml:space="preserve"> </v>
      </c>
      <c r="P29" s="46"/>
      <c r="Q29" s="304"/>
      <c r="R29" s="329"/>
    </row>
    <row r="30" spans="1:18" ht="11.25" customHeight="1">
      <c r="A30" s="328">
        <v>27</v>
      </c>
      <c r="B30" s="570" t="str">
        <f>IF(Регистрация!$D$6&lt;A30," ",CONCATENATE(VLOOKUP(A30,Регистрация!$B$7:$N$39,3,FALSE)," ",VLOOKUP(A30,Регистрация!$B$7:$N$39,4,FALSE)," ","(",VLOOKUP(A30,Регистрация!$B$7:$N$39,11,FALSE),")"))</f>
        <v xml:space="preserve"> </v>
      </c>
      <c r="C30" s="570"/>
      <c r="D30" s="47"/>
      <c r="E30" s="313"/>
      <c r="F30" s="47"/>
      <c r="G30" s="311"/>
      <c r="H30" s="47"/>
      <c r="I30" s="314"/>
      <c r="K30" s="315"/>
      <c r="L30" s="47"/>
      <c r="M30" s="312"/>
      <c r="N30" s="47"/>
      <c r="O30" s="304"/>
      <c r="P30" s="47"/>
      <c r="Q30" s="35" t="str">
        <f>IF(Регистрация!$D$6&lt;R30," ",CONCATENATE(VLOOKUP(R30,Регистрация!$B$7:$N$39,3,FALSE)," ",VLOOKUP(R30,Регистрация!$B$7:$N$39,4,FALSE)," ","(",VLOOKUP(R30,Регистрация!$B$7:$N$39,11,FALSE),")"))</f>
        <v xml:space="preserve"> </v>
      </c>
      <c r="R30" s="328">
        <v>28</v>
      </c>
    </row>
    <row r="31" spans="1:18" ht="11.25" customHeight="1">
      <c r="A31" s="329"/>
      <c r="B31" s="558"/>
      <c r="C31" s="558"/>
      <c r="D31" s="47"/>
      <c r="E31" s="313"/>
      <c r="F31" s="47"/>
      <c r="G31" s="311"/>
      <c r="H31" s="48"/>
      <c r="I31" s="257" t="str">
        <f>IF(H31=0," ",CONCATENATE(VLOOKUP(H31,Регистрация!$B$7:$N$39,3,FALSE)," ",VLOOKUP(H31,Регистрация!$B$7:$N$39,4,FALSE)))</f>
        <v xml:space="preserve"> </v>
      </c>
      <c r="K31" s="36" t="str">
        <f>IF(L31=0," ",CONCATENATE(VLOOKUP(L31,Регистрация!$B$7:$N$39,3,FALSE)," ",VLOOKUP(L31,Регистрация!$B$7:$N$39,4,FALSE)))</f>
        <v xml:space="preserve"> </v>
      </c>
      <c r="L31" s="49"/>
      <c r="M31" s="312"/>
      <c r="N31" s="47"/>
      <c r="O31" s="304"/>
      <c r="P31" s="47"/>
      <c r="Q31" s="304"/>
      <c r="R31" s="329"/>
    </row>
    <row r="32" spans="1:18" ht="11.25" customHeight="1">
      <c r="A32" s="328">
        <v>7</v>
      </c>
      <c r="B32" s="570" t="str">
        <f>IF(Регистрация!$D$6&lt;A32," ",CONCATENATE(VLOOKUP(A32,Регистрация!$B$7:$N$39,3,FALSE)," ",VLOOKUP(A32,Регистрация!$B$7:$N$39,4,FALSE)," ","(",VLOOKUP(A32,Регистрация!$B$7:$N$39,11,FALSE),")"))</f>
        <v xml:space="preserve"> </v>
      </c>
      <c r="C32" s="570"/>
      <c r="D32" s="47"/>
      <c r="E32" s="313"/>
      <c r="F32" s="47"/>
      <c r="G32" s="311"/>
      <c r="H32" s="144"/>
      <c r="I32" s="144"/>
      <c r="M32" s="312"/>
      <c r="N32" s="47"/>
      <c r="O32" s="304"/>
      <c r="P32" s="47"/>
      <c r="Q32" s="35" t="str">
        <f>IF(Регистрация!$D$6&lt;R32," ",CONCATENATE(VLOOKUP(R32,Регистрация!$B$7:$N$39,3,FALSE)," ",VLOOKUP(R32,Регистрация!$B$7:$N$39,4,FALSE)," ","(",VLOOKUP(R32,Регистрация!$B$7:$N$39,11,FALSE),")"))</f>
        <v xml:space="preserve"> </v>
      </c>
      <c r="R32" s="328">
        <v>8</v>
      </c>
    </row>
    <row r="33" spans="1:18" ht="11.25" customHeight="1">
      <c r="A33" s="329"/>
      <c r="B33" s="558"/>
      <c r="C33" s="558"/>
      <c r="D33" s="46"/>
      <c r="E33" s="259" t="str">
        <f>IF(D33=0," ",CONCATENATE(VLOOKUP(D33,Регистрация!$B$7:$N$39,3,FALSE)," ",VLOOKUP(D33,Регистрация!$B$7:$N$39,4,FALSE)))</f>
        <v xml:space="preserve"> </v>
      </c>
      <c r="F33" s="47"/>
      <c r="G33" s="311"/>
      <c r="H33" s="144"/>
      <c r="I33" s="144"/>
      <c r="M33" s="312"/>
      <c r="N33" s="47"/>
      <c r="O33" s="35" t="str">
        <f>IF(P33=0," ",CONCATENATE(VLOOKUP(P33,Регистрация!$B$7:$N$39,3,FALSE)," ",VLOOKUP(P33,Регистрация!$B$7:$N$39,4,FALSE)))</f>
        <v xml:space="preserve"> </v>
      </c>
      <c r="P33" s="46"/>
      <c r="Q33" s="304"/>
      <c r="R33" s="329"/>
    </row>
    <row r="34" spans="1:18" ht="11.25" customHeight="1">
      <c r="A34" s="328">
        <v>23</v>
      </c>
      <c r="B34" s="570" t="str">
        <f>IF(Регистрация!$D$6&lt;A34," ",CONCATENATE(VLOOKUP(A34,Регистрация!$B$7:$N$39,3,FALSE)," ",VLOOKUP(A34,Регистрация!$B$7:$N$39,4,FALSE)," ","(",VLOOKUP(A34,Регистрация!$B$7:$N$39,11,FALSE),")"))</f>
        <v xml:space="preserve"> </v>
      </c>
      <c r="C34" s="570"/>
      <c r="D34" s="47"/>
      <c r="E34" s="326"/>
      <c r="F34" s="47"/>
      <c r="G34" s="314"/>
      <c r="H34" s="144"/>
      <c r="I34" s="144"/>
      <c r="M34" s="315"/>
      <c r="N34" s="47"/>
      <c r="O34" s="327"/>
      <c r="P34" s="47"/>
      <c r="Q34" s="35" t="str">
        <f>IF(Регистрация!$D$6&lt;R34," ",CONCATENATE(VLOOKUP(R34,Регистрация!$B$7:$N$39,3,FALSE)," ",VLOOKUP(R34,Регистрация!$B$7:$N$39,4,FALSE)," ","(",VLOOKUP(R34,Регистрация!$B$7:$N$39,11,FALSE),")"))</f>
        <v xml:space="preserve"> </v>
      </c>
      <c r="R34" s="328">
        <v>24</v>
      </c>
    </row>
    <row r="35" spans="1:18" ht="11.25" customHeight="1">
      <c r="A35" s="329"/>
      <c r="B35" s="558"/>
      <c r="C35" s="558"/>
      <c r="D35" s="47"/>
      <c r="E35" s="306"/>
      <c r="F35" s="48"/>
      <c r="G35" s="257" t="str">
        <f>IF(F35=0," ",CONCATENATE(VLOOKUP(F35,Регистрация!$B$7:$N$39,3,FALSE)," ",VLOOKUP(F35,Регистрация!$B$7:$N$39,4,FALSE)))</f>
        <v xml:space="preserve"> </v>
      </c>
      <c r="H35" s="144"/>
      <c r="I35" s="96"/>
      <c r="J35" s="96"/>
      <c r="M35" s="36" t="str">
        <f>IF(N35=0," ",CONCATENATE(VLOOKUP(N35,Регистрация!$B$7:$N$39,3,FALSE)," ",VLOOKUP(N35,Регистрация!$B$7:$N$39,4,FALSE)))</f>
        <v xml:space="preserve"> </v>
      </c>
      <c r="N35" s="49"/>
      <c r="O35" s="307"/>
      <c r="P35" s="47"/>
      <c r="Q35" s="304"/>
      <c r="R35" s="329"/>
    </row>
    <row r="36" spans="1:18" ht="11.25" customHeight="1">
      <c r="A36" s="328">
        <v>15</v>
      </c>
      <c r="B36" s="570" t="str">
        <f>IF(Регистрация!$D$6&lt;A36," ",CONCATENATE(VLOOKUP(A36,Регистрация!$B$7:$N$39,3,FALSE)," ",VLOOKUP(A36,Регистрация!$B$7:$N$39,4,FALSE)," ","(",VLOOKUP(A36,Регистрация!$B$7:$N$39,11,FALSE),")"))</f>
        <v xml:space="preserve"> </v>
      </c>
      <c r="C36" s="570"/>
      <c r="D36" s="47"/>
      <c r="E36" s="308"/>
      <c r="F36" s="144"/>
      <c r="G36" s="144"/>
      <c r="H36" s="144"/>
      <c r="I36" s="144"/>
      <c r="O36" s="323"/>
      <c r="P36" s="47"/>
      <c r="Q36" s="35" t="str">
        <f>IF(Регистрация!$D$6&lt;R36," ",CONCATENATE(VLOOKUP(R36,Регистрация!$B$7:$N$39,3,FALSE)," ",VLOOKUP(R36,Регистрация!$B$7:$N$39,4,FALSE)," ","(",VLOOKUP(R36,Регистрация!$B$7:$N$39,11,FALSE),")"))</f>
        <v xml:space="preserve"> </v>
      </c>
      <c r="R36" s="328">
        <v>16</v>
      </c>
    </row>
    <row r="37" spans="1:18" ht="11.25" customHeight="1">
      <c r="A37" s="329"/>
      <c r="B37" s="558"/>
      <c r="C37" s="558"/>
      <c r="D37" s="46"/>
      <c r="E37" s="259" t="str">
        <f>IF(D37=0," ",CONCATENATE(VLOOKUP(D37,Регистрация!$B$7:$N$39,3,FALSE)," ",VLOOKUP(D37,Регистрация!$B$7:$N$39,4,FALSE)))</f>
        <v xml:space="preserve"> </v>
      </c>
      <c r="F37" s="144"/>
      <c r="G37" s="144"/>
      <c r="H37" s="265"/>
      <c r="I37" s="318"/>
      <c r="J37" s="108"/>
      <c r="O37" s="35" t="str">
        <f>IF(P37=0," ",CONCATENATE(VLOOKUP(P37,Регистрация!$B$7:$N$39,3,FALSE)," ",VLOOKUP(P37,Регистрация!$B$7:$N$39,4,FALSE)))</f>
        <v xml:space="preserve"> </v>
      </c>
      <c r="P37" s="46"/>
      <c r="Q37" s="304"/>
      <c r="R37" s="329"/>
    </row>
    <row r="38" spans="1:18" ht="11.25" customHeight="1">
      <c r="A38" s="328">
        <v>31</v>
      </c>
      <c r="B38" s="570" t="str">
        <f>IF(Регистрация!$D$6&lt;A38," ",CONCATENATE(VLOOKUP(A38,Регистрация!$B$7:$N$39,3,FALSE)," ",VLOOKUP(A38,Регистрация!$B$7:$N$39,4,FALSE)," ","(",VLOOKUP(A38,Регистрация!$B$7:$N$39,11,FALSE),")"))</f>
        <v xml:space="preserve"> </v>
      </c>
      <c r="C38" s="570"/>
      <c r="D38" s="142"/>
      <c r="E38" s="110"/>
      <c r="F38" s="254"/>
      <c r="G38" s="254"/>
      <c r="H38" s="559" t="s">
        <v>13</v>
      </c>
      <c r="I38" s="559"/>
      <c r="J38" s="559"/>
      <c r="K38" s="559"/>
      <c r="L38" s="559"/>
      <c r="Q38" s="35" t="str">
        <f>IF(Регистрация!$D$6&lt;R38," ",CONCATENATE(VLOOKUP(R38,Регистрация!$B$7:$N$39,3,FALSE)," ",VLOOKUP(R38,Регистрация!$B$7:$N$39,4,FALSE)," ","(",VLOOKUP(R38,Регистрация!$B$7:$N$39,11,FALSE),")"))</f>
        <v xml:space="preserve"> </v>
      </c>
      <c r="R38" s="328">
        <v>32</v>
      </c>
    </row>
    <row r="39" spans="1:18" ht="12" customHeight="1">
      <c r="D39" s="178"/>
      <c r="E39" s="128"/>
      <c r="H39" s="265"/>
      <c r="J39" s="108"/>
    </row>
    <row r="40" spans="1:18" ht="12" customHeight="1">
      <c r="A40" s="560" t="s">
        <v>16</v>
      </c>
      <c r="B40" s="560"/>
      <c r="C40" s="561"/>
      <c r="D40" s="561"/>
      <c r="E40" s="561"/>
      <c r="H40" s="98">
        <f>IF(H23=0,0,IF(H23=H15,H31,H15))</f>
        <v>0</v>
      </c>
      <c r="I40" s="578" t="str">
        <f>IF(H40=0," ",CONCATENATE(VLOOKUP(H40,Регистрация!$B$7:$N$39,3,FALSE)," ",VLOOKUP(H40,Регистрация!$B$7:$N$39,4,FALSE)))</f>
        <v xml:space="preserve"> </v>
      </c>
      <c r="J40" s="578"/>
      <c r="K40" s="578"/>
    </row>
    <row r="41" spans="1:18" ht="12" customHeight="1">
      <c r="A41" s="330"/>
      <c r="B41" s="319" t="s">
        <v>1</v>
      </c>
      <c r="C41" s="573" t="s">
        <v>17</v>
      </c>
      <c r="D41" s="574"/>
      <c r="E41" s="574"/>
      <c r="F41" s="575"/>
      <c r="H41" s="165"/>
      <c r="I41" s="320"/>
      <c r="J41" s="167"/>
      <c r="K41" s="167"/>
      <c r="L41" s="46"/>
      <c r="M41" s="568" t="str">
        <f>IF(L41=0," ",CONCATENATE(VLOOKUP(L41,Регистрация!$B$7:$N$39,3,FALSE)," ",VLOOKUP(L41,Регистрация!$B$7:$N$39,4,FALSE)))</f>
        <v xml:space="preserve"> </v>
      </c>
      <c r="N41" s="568"/>
    </row>
    <row r="42" spans="1:18" ht="12" customHeight="1">
      <c r="A42" s="37">
        <f>H9</f>
        <v>0</v>
      </c>
      <c r="B42" s="97">
        <v>1</v>
      </c>
      <c r="C42" s="551" t="str">
        <f>IF(A42=0," ",CONCATENATE(VLOOKUP(A42,Регистрация!$B$7:$N$39,3,FALSE)," ",VLOOKUP(A42,Регистрация!$B$7:$N$39,4,FALSE)," ",VLOOKUP(A42,Регистрация!$B$7:$N$39,5,FALSE)," ","(",VLOOKUP(A42,Регистрация!$B$7:$N$39,11,FALSE),")"))</f>
        <v xml:space="preserve"> </v>
      </c>
      <c r="D42" s="552"/>
      <c r="E42" s="552"/>
      <c r="F42" s="553"/>
      <c r="G42" s="111"/>
      <c r="H42" s="98">
        <f>IF(L23=0,0,IF(L23=L15,L31,L15))</f>
        <v>0</v>
      </c>
      <c r="I42" s="578" t="str">
        <f>IF(H42=0," ",CONCATENATE(VLOOKUP(H42,Регистрация!$B$7:$N$39,3,FALSE)," ",VLOOKUP(H42,Регистрация!$B$7:$N$39,4,FALSE)))</f>
        <v xml:space="preserve"> </v>
      </c>
      <c r="J42" s="578"/>
      <c r="K42" s="578"/>
    </row>
    <row r="43" spans="1:18" ht="12" customHeight="1">
      <c r="A43" s="37">
        <f>IF(H9=0,0,IF(H9=H23,L23,H23))</f>
        <v>0</v>
      </c>
      <c r="B43" s="97">
        <v>2</v>
      </c>
      <c r="C43" s="551" t="str">
        <f>IF(A43=0," ",CONCATENATE(VLOOKUP(A43,Регистрация!$B$7:$N$39,3,FALSE)," ",VLOOKUP(A43,Регистрация!$B$7:$N$39,4,FALSE)," ",VLOOKUP(A43,Регистрация!$B$7:$N$39,5,FALSE)," ","(",VLOOKUP(A43,Регистрация!$B$7:$N$39,11,FALSE),")"))</f>
        <v xml:space="preserve"> </v>
      </c>
      <c r="D43" s="552"/>
      <c r="E43" s="552"/>
      <c r="F43" s="553"/>
    </row>
    <row r="44" spans="1:18" ht="12" customHeight="1">
      <c r="A44" s="37">
        <f>L41</f>
        <v>0</v>
      </c>
      <c r="B44" s="97">
        <v>3</v>
      </c>
      <c r="C44" s="551" t="str">
        <f>IF(A44=0," ",CONCATENATE(VLOOKUP(A44,Регистрация!$B$7:$N$39,3,FALSE)," ",VLOOKUP(A44,Регистрация!$B$7:$N$39,4,FALSE)," ",VLOOKUP(A44,Регистрация!$B$7:$N$39,5,FALSE)," ","(",VLOOKUP(A44,Регистрация!$B$7:$N$39,11,FALSE),")"))</f>
        <v xml:space="preserve"> </v>
      </c>
      <c r="D44" s="552"/>
      <c r="E44" s="552"/>
      <c r="F44" s="553"/>
    </row>
    <row r="45" spans="1:18" ht="12" customHeight="1">
      <c r="A45" s="37">
        <f>IF(L41=0,0,IF(L41=H40,H42,H40))</f>
        <v>0</v>
      </c>
      <c r="B45" s="97">
        <v>4</v>
      </c>
      <c r="C45" s="551" t="str">
        <f>IF(A45=0," ",CONCATENATE(VLOOKUP(A45,Регистрация!$B$7:$N$39,3,FALSE)," ",VLOOKUP(A45,Регистрация!$B$7:$N$39,4,FALSE)," ",VLOOKUP(A45,Регистрация!$B$7:$N$39,5,FALSE)," ","(",VLOOKUP(A45,Регистрация!$B$7:$N$39,11,FALSE),")"))</f>
        <v xml:space="preserve"> </v>
      </c>
      <c r="D45" s="552"/>
      <c r="E45" s="552"/>
      <c r="F45" s="553"/>
    </row>
    <row r="46" spans="1:18" s="78" customFormat="1" ht="31.5" customHeight="1">
      <c r="A46" s="554" t="s">
        <v>14</v>
      </c>
      <c r="B46" s="554"/>
      <c r="C46" s="554"/>
      <c r="D46" s="178"/>
      <c r="E46" s="168"/>
      <c r="F46" s="168"/>
      <c r="G46" s="168"/>
      <c r="H46" s="321"/>
      <c r="I46" s="321"/>
      <c r="J46" s="321"/>
      <c r="K46" s="321"/>
      <c r="L46" s="321"/>
      <c r="M46" s="168"/>
      <c r="N46" s="168"/>
      <c r="O46" s="554" t="str">
        <f>Регистрация!N73</f>
        <v>Цыльев В.А. С1К</v>
      </c>
      <c r="P46" s="554"/>
      <c r="Q46" s="554"/>
      <c r="R46" s="169"/>
    </row>
    <row r="47" spans="1:18" s="78" customFormat="1" ht="13.5" customHeight="1">
      <c r="A47" s="179"/>
      <c r="B47" s="168"/>
      <c r="C47" s="168"/>
      <c r="D47" s="17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9"/>
    </row>
    <row r="48" spans="1:18" s="78" customFormat="1" ht="15.75" customHeight="1">
      <c r="A48" s="554" t="s">
        <v>15</v>
      </c>
      <c r="B48" s="554"/>
      <c r="C48" s="554"/>
      <c r="D48" s="178"/>
      <c r="E48" s="168"/>
      <c r="F48" s="168"/>
      <c r="G48" s="168"/>
      <c r="H48" s="321"/>
      <c r="I48" s="321"/>
      <c r="J48" s="321"/>
      <c r="K48" s="321"/>
      <c r="L48" s="321"/>
      <c r="M48" s="168"/>
      <c r="N48" s="168"/>
      <c r="O48" s="554" t="str">
        <f>Регистрация!N74</f>
        <v>Орлова Е.С 3 К</v>
      </c>
      <c r="P48" s="554"/>
      <c r="Q48" s="554"/>
      <c r="R48" s="169"/>
    </row>
    <row r="49" spans="1:18" ht="11.15" customHeight="1">
      <c r="R49" s="184"/>
    </row>
    <row r="50" spans="1:18" ht="11.15" customHeight="1">
      <c r="A50" s="184"/>
      <c r="D50" s="77"/>
      <c r="R50" s="184"/>
    </row>
    <row r="51" spans="1:18" ht="11.15" customHeight="1">
      <c r="A51" s="184"/>
      <c r="D51" s="77"/>
      <c r="R51" s="184"/>
    </row>
    <row r="52" spans="1:18" ht="11.15" customHeight="1">
      <c r="A52" s="184"/>
      <c r="D52" s="77"/>
      <c r="R52" s="184"/>
    </row>
    <row r="53" spans="1:18" ht="11.15" customHeight="1">
      <c r="A53" s="184"/>
      <c r="D53" s="77"/>
      <c r="R53" s="184"/>
    </row>
    <row r="54" spans="1:18" ht="12" customHeight="1">
      <c r="A54" s="184"/>
      <c r="D54" s="77"/>
      <c r="R54" s="184"/>
    </row>
    <row r="55" spans="1:18" ht="12" customHeight="1">
      <c r="A55" s="184"/>
      <c r="D55" s="77"/>
      <c r="R55" s="184"/>
    </row>
    <row r="56" spans="1:18" ht="12" customHeight="1">
      <c r="A56" s="184"/>
      <c r="D56" s="77"/>
      <c r="R56" s="184"/>
    </row>
    <row r="57" spans="1:18" ht="12" customHeight="1">
      <c r="A57" s="184"/>
      <c r="D57" s="77"/>
      <c r="R57" s="184"/>
    </row>
    <row r="58" spans="1:18" ht="12" customHeight="1">
      <c r="A58" s="184"/>
      <c r="D58" s="77"/>
      <c r="R58" s="184"/>
    </row>
    <row r="59" spans="1:18" ht="12" customHeight="1">
      <c r="A59" s="184"/>
      <c r="D59" s="77"/>
      <c r="R59" s="184"/>
    </row>
    <row r="60" spans="1:18" ht="12" customHeight="1">
      <c r="A60" s="184"/>
      <c r="D60" s="77"/>
      <c r="R60" s="184"/>
    </row>
    <row r="61" spans="1:18" ht="12" customHeight="1">
      <c r="A61" s="184"/>
      <c r="D61" s="77"/>
      <c r="R61" s="184"/>
    </row>
    <row r="62" spans="1:18" ht="12" customHeight="1">
      <c r="A62" s="184"/>
      <c r="D62" s="77"/>
      <c r="R62" s="184"/>
    </row>
    <row r="63" spans="1:18" ht="12" customHeight="1">
      <c r="A63" s="184"/>
      <c r="D63" s="77"/>
      <c r="R63" s="184"/>
    </row>
    <row r="64" spans="1:18" ht="12" customHeight="1">
      <c r="A64" s="184"/>
      <c r="D64" s="77"/>
      <c r="R64" s="184"/>
    </row>
    <row r="65" spans="1:18" ht="12" customHeight="1">
      <c r="A65" s="184"/>
      <c r="D65" s="77"/>
      <c r="R65" s="184"/>
    </row>
    <row r="66" spans="1:18" ht="12" customHeight="1">
      <c r="R66" s="184"/>
    </row>
  </sheetData>
  <sheetProtection formatCells="0" formatColumns="0" formatRows="0" insertColumns="0" insertRows="0" sort="0"/>
  <mergeCells count="52">
    <mergeCell ref="I42:K42"/>
    <mergeCell ref="I40:K40"/>
    <mergeCell ref="M41:N41"/>
    <mergeCell ref="H38:L38"/>
    <mergeCell ref="A46:C46"/>
    <mergeCell ref="B3:Q3"/>
    <mergeCell ref="G5:M5"/>
    <mergeCell ref="G7:M7"/>
    <mergeCell ref="I9:K9"/>
    <mergeCell ref="I10:K10"/>
    <mergeCell ref="B8:C8"/>
    <mergeCell ref="B9:C9"/>
    <mergeCell ref="A5:E5"/>
    <mergeCell ref="B30:C30"/>
    <mergeCell ref="A48:C48"/>
    <mergeCell ref="B32:C32"/>
    <mergeCell ref="B36:C36"/>
    <mergeCell ref="B25:C25"/>
    <mergeCell ref="B27:C27"/>
    <mergeCell ref="B31:C31"/>
    <mergeCell ref="B33:C33"/>
    <mergeCell ref="B34:C34"/>
    <mergeCell ref="B38:C38"/>
    <mergeCell ref="A40:E40"/>
    <mergeCell ref="B11:C11"/>
    <mergeCell ref="B29:C29"/>
    <mergeCell ref="B21:C21"/>
    <mergeCell ref="B23:C23"/>
    <mergeCell ref="B13:C13"/>
    <mergeCell ref="B14:C14"/>
    <mergeCell ref="B16:C16"/>
    <mergeCell ref="B18:C18"/>
    <mergeCell ref="B19:C19"/>
    <mergeCell ref="B24:C24"/>
    <mergeCell ref="B26:C26"/>
    <mergeCell ref="B28:C28"/>
    <mergeCell ref="B1:Q1"/>
    <mergeCell ref="O48:Q48"/>
    <mergeCell ref="O46:Q46"/>
    <mergeCell ref="C45:F45"/>
    <mergeCell ref="C44:F44"/>
    <mergeCell ref="C43:F43"/>
    <mergeCell ref="C42:F42"/>
    <mergeCell ref="C41:F41"/>
    <mergeCell ref="B37:C37"/>
    <mergeCell ref="B35:C35"/>
    <mergeCell ref="B12:C12"/>
    <mergeCell ref="B20:C20"/>
    <mergeCell ref="B15:C15"/>
    <mergeCell ref="B17:C17"/>
    <mergeCell ref="B22:C22"/>
    <mergeCell ref="B10:C10"/>
  </mergeCells>
  <phoneticPr fontId="5" type="noConversion"/>
  <pageMargins left="0.27" right="3.937007874015748E-2" top="0.19" bottom="0.19" header="0" footer="0"/>
  <pageSetup paperSize="9" orientation="landscape" verticalDpi="3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0"/>
  <dimension ref="A1:AC114"/>
  <sheetViews>
    <sheetView showGridLines="0" showZeros="0" zoomScaleNormal="100" workbookViewId="0">
      <selection activeCell="A6" sqref="A6"/>
    </sheetView>
  </sheetViews>
  <sheetFormatPr defaultColWidth="9.1796875" defaultRowHeight="13"/>
  <cols>
    <col min="1" max="1" width="1.7265625" style="94" customWidth="1"/>
    <col min="2" max="2" width="5.7265625" style="171" bestFit="1" customWidth="1"/>
    <col min="3" max="3" width="18.54296875" style="171" customWidth="1"/>
    <col min="4" max="4" width="1.7265625" style="84" customWidth="1"/>
    <col min="5" max="5" width="10" style="77" customWidth="1"/>
    <col min="6" max="6" width="1.7265625" style="77" customWidth="1"/>
    <col min="7" max="7" width="10" style="77" customWidth="1"/>
    <col min="8" max="8" width="1.7265625" style="77" customWidth="1"/>
    <col min="9" max="9" width="10" style="77" customWidth="1"/>
    <col min="10" max="10" width="1.7265625" style="77" customWidth="1"/>
    <col min="11" max="11" width="10" style="77" customWidth="1"/>
    <col min="12" max="13" width="0.81640625" style="77" customWidth="1"/>
    <col min="14" max="14" width="10" style="77" customWidth="1"/>
    <col min="15" max="15" width="1.7265625" style="77" customWidth="1"/>
    <col min="16" max="16" width="10" style="77" customWidth="1"/>
    <col min="17" max="17" width="1.7265625" style="77" customWidth="1"/>
    <col min="18" max="18" width="10" style="77" customWidth="1"/>
    <col min="19" max="19" width="1.7265625" style="77" customWidth="1"/>
    <col min="20" max="20" width="10" style="77" customWidth="1"/>
    <col min="21" max="21" width="1.7265625" style="77" customWidth="1"/>
    <col min="22" max="22" width="24.26953125" style="173" customWidth="1"/>
    <col min="23" max="23" width="1.7265625" style="138" customWidth="1"/>
    <col min="24" max="16384" width="9.1796875" style="77"/>
  </cols>
  <sheetData>
    <row r="1" spans="1:29" ht="14.25" customHeight="1">
      <c r="A1" s="91"/>
      <c r="B1" s="534" t="str">
        <f>Регистрация!A1</f>
        <v xml:space="preserve"> Межмуниципальные соревнования по всестилевому каратэ "Первый старт" 27 сентября 2025 г.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  <c r="R1" s="534"/>
      <c r="S1" s="534"/>
      <c r="T1" s="534"/>
      <c r="U1" s="534"/>
      <c r="V1" s="534"/>
    </row>
    <row r="2" spans="1:29" ht="1.5" customHeight="1">
      <c r="A2" s="92"/>
      <c r="B2" s="170"/>
      <c r="C2" s="170"/>
      <c r="D2" s="83"/>
      <c r="E2" s="139"/>
      <c r="F2" s="139"/>
      <c r="G2" s="139"/>
      <c r="H2" s="139"/>
      <c r="I2" s="139"/>
      <c r="J2" s="76"/>
    </row>
    <row r="3" spans="1:29" ht="12.75" customHeight="1">
      <c r="A3" s="93"/>
      <c r="B3" s="535" t="str">
        <f>Регистрация!A2</f>
        <v>Вид спорта: ВСЕСТИЛЕВОЕ КАРАТЭ (номер-код вида спорта - 0900001411Я)</v>
      </c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  <c r="R3" s="535"/>
      <c r="S3" s="535"/>
      <c r="T3" s="535"/>
      <c r="U3" s="535"/>
      <c r="V3" s="535"/>
    </row>
    <row r="4" spans="1:29" ht="0.75" customHeight="1">
      <c r="J4" s="78"/>
    </row>
    <row r="5" spans="1:29" s="96" customFormat="1" ht="12.75" customHeight="1">
      <c r="A5" s="571" t="str">
        <f>Регистрация!A3</f>
        <v>Женщины 18 +  ОК-двоеборье</v>
      </c>
      <c r="B5" s="571"/>
      <c r="C5" s="571"/>
      <c r="D5" s="571"/>
      <c r="E5" s="571"/>
      <c r="F5" s="571"/>
      <c r="G5" s="571" t="str">
        <f>Регистрация!G3</f>
        <v>г. Санкт-Петербург</v>
      </c>
      <c r="H5" s="571"/>
      <c r="I5" s="571"/>
      <c r="J5" s="571"/>
      <c r="K5" s="571"/>
      <c r="L5" s="571"/>
      <c r="M5" s="571"/>
      <c r="N5" s="571"/>
      <c r="O5" s="571"/>
      <c r="P5" s="571"/>
      <c r="Q5" s="571"/>
      <c r="R5" s="571"/>
      <c r="S5" s="571"/>
      <c r="T5" s="402" t="str">
        <f>Регистрация!L3</f>
        <v>27 сентября 2025</v>
      </c>
      <c r="U5" s="178" t="s">
        <v>45</v>
      </c>
      <c r="V5" s="403">
        <f>Регистрация!N3</f>
        <v>0</v>
      </c>
      <c r="W5" s="140"/>
      <c r="X5" s="77"/>
      <c r="Y5" s="77"/>
      <c r="Z5" s="77"/>
      <c r="AA5" s="77"/>
      <c r="AB5" s="77"/>
      <c r="AC5" s="77"/>
    </row>
    <row r="6" spans="1:29" s="145" customFormat="1" ht="1.5" customHeight="1">
      <c r="A6" s="94"/>
      <c r="B6" s="171"/>
      <c r="C6" s="172"/>
      <c r="D6" s="142"/>
      <c r="E6" s="107"/>
      <c r="F6" s="105"/>
      <c r="G6" s="108"/>
      <c r="H6" s="108"/>
      <c r="I6" s="143"/>
      <c r="J6" s="108"/>
      <c r="K6" s="144"/>
      <c r="V6" s="174"/>
      <c r="W6" s="138"/>
      <c r="X6" s="77"/>
      <c r="Y6" s="77"/>
      <c r="Z6" s="77"/>
      <c r="AA6" s="77"/>
      <c r="AB6" s="77"/>
      <c r="AC6" s="77"/>
    </row>
    <row r="7" spans="1:29" s="147" customFormat="1" ht="12.75" customHeight="1">
      <c r="A7" s="146"/>
      <c r="B7" s="171"/>
      <c r="C7" s="404" t="s">
        <v>39</v>
      </c>
      <c r="D7" s="405">
        <f>Регистрация!D6</f>
        <v>6</v>
      </c>
      <c r="E7" s="406" t="s">
        <v>40</v>
      </c>
      <c r="F7" s="141"/>
      <c r="G7" s="603" t="s">
        <v>18</v>
      </c>
      <c r="H7" s="603"/>
      <c r="I7" s="603"/>
      <c r="J7" s="603"/>
      <c r="K7" s="603"/>
      <c r="L7" s="603"/>
      <c r="M7" s="603"/>
      <c r="N7" s="603"/>
      <c r="O7" s="603"/>
      <c r="P7" s="603"/>
      <c r="Q7" s="603"/>
      <c r="R7" s="603"/>
      <c r="V7" s="175"/>
      <c r="W7" s="148"/>
      <c r="X7" s="77"/>
      <c r="Y7" s="77"/>
      <c r="Z7" s="77"/>
      <c r="AA7" s="77"/>
      <c r="AB7" s="77"/>
      <c r="AC7" s="77"/>
    </row>
    <row r="8" spans="1:29" s="153" customFormat="1" ht="5.25" customHeight="1">
      <c r="A8" s="579">
        <v>1</v>
      </c>
      <c r="B8" s="581" t="str">
        <f>IF(Регистрация!$D$6&lt;A8," ",CONCATENATE(VLOOKUP(A8,Регистрация!$B$7:$N$71,3,FALSE)," ",VLOOKUP(A8,Регистрация!$B$7:$N$71,4,FALSE)," ","(",VLOOKUP(A8,Регистрация!$B$7:$N$71,11,FALSE),")"))</f>
        <v>Сугралиева Арина (Политех)</v>
      </c>
      <c r="C8" s="582"/>
      <c r="D8" s="149"/>
      <c r="E8" s="150"/>
      <c r="F8" s="151"/>
      <c r="G8" s="151"/>
      <c r="H8" s="151"/>
      <c r="I8" s="149"/>
      <c r="J8" s="149"/>
      <c r="K8" s="152"/>
      <c r="V8" s="611" t="str">
        <f>IF(Регистрация!$D$6&lt;W8," ",CONCATENATE(VLOOKUP(W8,Регистрация!$B$7:$N$71,3,FALSE)," ",VLOOKUP(W8,Регистрация!$B$7:$N$71,4,FALSE)," ","(",VLOOKUP(W8,Регистрация!$B$7:$N$71,11,FALSE),")"))</f>
        <v>Хохлова Элина (WSKF)</v>
      </c>
      <c r="W8" s="621">
        <v>2</v>
      </c>
      <c r="X8" s="77"/>
      <c r="Y8" s="77"/>
      <c r="Z8" s="77"/>
      <c r="AA8" s="77"/>
      <c r="AB8" s="77"/>
      <c r="AC8" s="77"/>
    </row>
    <row r="9" spans="1:29" s="153" customFormat="1" ht="5.25" customHeight="1">
      <c r="A9" s="580"/>
      <c r="B9" s="583"/>
      <c r="C9" s="584"/>
      <c r="D9" s="597">
        <f>IF(A10&gt;$D$7,A8,)</f>
        <v>1</v>
      </c>
      <c r="E9" s="605" t="str">
        <f>IF(D9=0," ",CONCATENATE(VLOOKUP(D9,Регистрация!$B$7:$N$71,3,FALSE)," ",LEFT(VLOOKUP(D9,Регистрация!$B$7:$N$71,4,FALSE),1),"."))</f>
        <v>Сугралиева А.</v>
      </c>
      <c r="F9" s="151"/>
      <c r="G9" s="151"/>
      <c r="H9" s="151"/>
      <c r="I9" s="149"/>
      <c r="J9" s="149"/>
      <c r="K9" s="152"/>
      <c r="T9" s="587" t="str">
        <f>IF(U9=0," ",CONCATENATE(VLOOKUP(U9,Регистрация!$B$7:$N$71,3,FALSE)," ",LEFT(VLOOKUP(U9,Регистрация!$B$7:$N$71,4,FALSE),1),"."))</f>
        <v>Хохлова Э.</v>
      </c>
      <c r="U9" s="624">
        <f>IF(W10&gt;$D$7,W8,)</f>
        <v>2</v>
      </c>
      <c r="V9" s="615"/>
      <c r="W9" s="622"/>
      <c r="X9" s="77"/>
      <c r="Y9" s="77"/>
      <c r="Z9" s="77"/>
      <c r="AA9" s="77"/>
      <c r="AB9" s="77"/>
      <c r="AC9" s="77"/>
    </row>
    <row r="10" spans="1:29" s="153" customFormat="1" ht="5.25" customHeight="1">
      <c r="A10" s="599">
        <v>33</v>
      </c>
      <c r="B10" s="592" t="str">
        <f>IF(Регистрация!$D$6&lt;A10," ",CONCATENATE(VLOOKUP(A10,Регистрация!$B$7:$N$71,3,FALSE)," ",VLOOKUP(A10,Регистрация!$B$7:$N$71,4,FALSE)," ","(",VLOOKUP(A10,Регистрация!$B$7:$N$71,11,FALSE),")"))</f>
        <v xml:space="preserve"> </v>
      </c>
      <c r="C10" s="593"/>
      <c r="D10" s="598"/>
      <c r="E10" s="606"/>
      <c r="F10" s="151"/>
      <c r="G10" s="151"/>
      <c r="H10" s="151"/>
      <c r="I10" s="149"/>
      <c r="J10" s="149"/>
      <c r="K10" s="152"/>
      <c r="T10" s="588"/>
      <c r="U10" s="625"/>
      <c r="V10" s="623" t="str">
        <f>IF(Регистрация!$D$6&lt;W10," ",CONCATENATE(VLOOKUP(W10,Регистрация!$B$7:$N$71,3,FALSE)," ",VLOOKUP(W10,Регистрация!$B$7:$N$71,4,FALSE)," ","(",VLOOKUP(W10,Регистрация!$B$7:$N$71,11,FALSE),")"))</f>
        <v xml:space="preserve"> </v>
      </c>
      <c r="W10" s="609">
        <v>34</v>
      </c>
      <c r="X10" s="77"/>
      <c r="Y10" s="77"/>
      <c r="Z10" s="77"/>
      <c r="AA10" s="77"/>
      <c r="AB10" s="77"/>
      <c r="AC10" s="77"/>
    </row>
    <row r="11" spans="1:29" s="153" customFormat="1" ht="5.25" customHeight="1">
      <c r="A11" s="600"/>
      <c r="B11" s="594"/>
      <c r="C11" s="595"/>
      <c r="D11" s="149"/>
      <c r="E11" s="389"/>
      <c r="F11" s="607"/>
      <c r="G11" s="605" t="str">
        <f>IF(F11=0," ",CONCATENATE(VLOOKUP(F11,Регистрация!$B$7:$N$71,3,FALSE)," ",LEFT(VLOOKUP(F11,Регистрация!$B$7:$N$71,4,FALSE),1),"."))</f>
        <v xml:space="preserve"> </v>
      </c>
      <c r="H11" s="151"/>
      <c r="I11" s="149"/>
      <c r="J11" s="149"/>
      <c r="K11" s="152"/>
      <c r="R11" s="587" t="str">
        <f>IF(S11=0," ",CONCATENATE(VLOOKUP(S11,Регистрация!$B$7:$N$71,3,FALSE)," ",LEFT(VLOOKUP(S11,Регистрация!$B$7:$N$71,4,FALSE),1),"."))</f>
        <v xml:space="preserve"> </v>
      </c>
      <c r="S11" s="585"/>
      <c r="T11" s="398"/>
      <c r="U11" s="191"/>
      <c r="V11" s="616"/>
      <c r="W11" s="610"/>
      <c r="X11" s="77"/>
      <c r="Y11" s="77"/>
      <c r="Z11" s="77"/>
      <c r="AA11" s="77"/>
      <c r="AB11" s="77"/>
      <c r="AC11" s="77"/>
    </row>
    <row r="12" spans="1:29" s="153" customFormat="1" ht="5.25" customHeight="1">
      <c r="A12" s="155"/>
      <c r="B12" s="156"/>
      <c r="C12" s="156"/>
      <c r="D12" s="149"/>
      <c r="E12" s="389"/>
      <c r="F12" s="608"/>
      <c r="G12" s="606"/>
      <c r="H12" s="151"/>
      <c r="I12" s="149"/>
      <c r="J12" s="149"/>
      <c r="K12" s="152"/>
      <c r="R12" s="588"/>
      <c r="S12" s="586"/>
      <c r="T12" s="399"/>
      <c r="U12" s="191"/>
      <c r="V12" s="158"/>
      <c r="W12" s="155"/>
      <c r="X12" s="77"/>
      <c r="Y12" s="77"/>
      <c r="Z12" s="77"/>
      <c r="AA12" s="77"/>
      <c r="AB12" s="77"/>
      <c r="AC12" s="77"/>
    </row>
    <row r="13" spans="1:29" s="153" customFormat="1" ht="5.25" customHeight="1">
      <c r="A13" s="579">
        <v>17</v>
      </c>
      <c r="B13" s="601" t="str">
        <f>IF(Регистрация!$D$6&lt;A13," ",CONCATENATE(VLOOKUP(A13,Регистрация!$B$7:$N$71,3,FALSE)," ",VLOOKUP(A13,Регистрация!$B$7:$N$71,4,FALSE)," ","(",VLOOKUP(A13,Регистрация!$B$7:$N$71,11,FALSE),")"))</f>
        <v xml:space="preserve"> </v>
      </c>
      <c r="C13" s="582"/>
      <c r="D13" s="149"/>
      <c r="E13" s="389"/>
      <c r="F13" s="164"/>
      <c r="G13" s="390"/>
      <c r="H13" s="159"/>
      <c r="I13" s="149"/>
      <c r="J13" s="149"/>
      <c r="K13" s="628" t="s">
        <v>38</v>
      </c>
      <c r="L13" s="628"/>
      <c r="M13" s="628"/>
      <c r="N13" s="628"/>
      <c r="R13" s="398"/>
      <c r="T13" s="400"/>
      <c r="U13" s="191"/>
      <c r="V13" s="611" t="str">
        <f>IF(Регистрация!$D$6&lt;W13," ",CONCATENATE(VLOOKUP(W13,Регистрация!$B$7:$N$71,3,FALSE)," ",VLOOKUP(W13,Регистрация!$B$7:$N$71,4,FALSE)," ","(",VLOOKUP(W13,Регистрация!$B$7:$N$71,11,FALSE),")"))</f>
        <v xml:space="preserve"> </v>
      </c>
      <c r="W13" s="613">
        <v>18</v>
      </c>
      <c r="X13" s="77"/>
      <c r="Y13" s="77"/>
      <c r="Z13" s="77"/>
      <c r="AA13" s="77"/>
      <c r="AB13" s="77"/>
      <c r="AC13" s="77"/>
    </row>
    <row r="14" spans="1:29" s="153" customFormat="1" ht="5.25" customHeight="1">
      <c r="A14" s="599"/>
      <c r="B14" s="602"/>
      <c r="C14" s="584"/>
      <c r="D14" s="597">
        <f>IF(A15&gt;$D$7,A13,)</f>
        <v>17</v>
      </c>
      <c r="E14" s="605" t="str">
        <f>IF(D14=0," ",CONCATENATE(VLOOKUP(D14,Регистрация!$B$7:$N$71,3,FALSE)," ",LEFT(VLOOKUP(D14,Регистрация!$B$7:$N$71,4,FALSE),1),"."))</f>
        <v xml:space="preserve"> .</v>
      </c>
      <c r="F14" s="151"/>
      <c r="G14" s="390"/>
      <c r="H14" s="159"/>
      <c r="I14" s="149"/>
      <c r="J14" s="149"/>
      <c r="K14" s="628"/>
      <c r="L14" s="628"/>
      <c r="M14" s="628"/>
      <c r="N14" s="628"/>
      <c r="R14" s="399"/>
      <c r="T14" s="587" t="str">
        <f>IF(U14=0," ",CONCATENATE(VLOOKUP(U14,Регистрация!$B$7:$N$71,3,FALSE)," ",LEFT(VLOOKUP(U14,Регистрация!$B$7:$N$71,4,FALSE),1),"."))</f>
        <v xml:space="preserve"> .</v>
      </c>
      <c r="U14" s="624">
        <f>IF(W15&gt;$D$7,W13,)</f>
        <v>18</v>
      </c>
      <c r="V14" s="612"/>
      <c r="W14" s="614"/>
      <c r="X14" s="77"/>
      <c r="Y14" s="77"/>
      <c r="Z14" s="77"/>
      <c r="AA14" s="77"/>
      <c r="AB14" s="77"/>
      <c r="AC14" s="77"/>
    </row>
    <row r="15" spans="1:29" s="153" customFormat="1" ht="5.25" customHeight="1">
      <c r="A15" s="604">
        <v>49</v>
      </c>
      <c r="B15" s="592" t="str">
        <f>IF(Регистрация!$D$6&lt;A15," ",CONCATENATE(VLOOKUP(A15,Регистрация!$B$7:$N$71,3,FALSE)," ",VLOOKUP(A15,Регистрация!$B$7:$N$71,4,FALSE)," ","(",VLOOKUP(A15,Регистрация!$B$7:$N$71,11,FALSE),")"))</f>
        <v xml:space="preserve"> </v>
      </c>
      <c r="C15" s="593"/>
      <c r="D15" s="598"/>
      <c r="E15" s="606"/>
      <c r="F15" s="151"/>
      <c r="G15" s="390"/>
      <c r="H15" s="159"/>
      <c r="I15" s="149"/>
      <c r="J15" s="149"/>
      <c r="K15" s="628"/>
      <c r="L15" s="628"/>
      <c r="M15" s="628"/>
      <c r="N15" s="628"/>
      <c r="R15" s="399"/>
      <c r="T15" s="588"/>
      <c r="U15" s="625"/>
      <c r="V15" s="615" t="str">
        <f>IF(Регистрация!$D$6&lt;W15," ",CONCATENATE(VLOOKUP(W15,Регистрация!$B$7:$N$71,3,FALSE)," ",VLOOKUP(W15,Регистрация!$B$7:$N$71,4,FALSE)," ","(",VLOOKUP(W15,Регистрация!$B$7:$N$71,11,FALSE),")"))</f>
        <v xml:space="preserve"> </v>
      </c>
      <c r="W15" s="609">
        <v>50</v>
      </c>
      <c r="X15" s="77"/>
      <c r="Y15" s="77"/>
      <c r="Z15" s="77"/>
      <c r="AA15" s="77"/>
      <c r="AB15" s="77"/>
      <c r="AC15" s="77"/>
    </row>
    <row r="16" spans="1:29" s="153" customFormat="1" ht="5.25" customHeight="1">
      <c r="A16" s="600"/>
      <c r="B16" s="594"/>
      <c r="C16" s="595"/>
      <c r="D16" s="149"/>
      <c r="E16" s="389"/>
      <c r="F16" s="190"/>
      <c r="G16" s="391"/>
      <c r="H16" s="607"/>
      <c r="I16" s="605" t="str">
        <f>IF(H16=0," ",CONCATENATE(VLOOKUP(H16,Регистрация!$B$7:$N$71,3,FALSE)," ",LEFT(VLOOKUP(H16,Регистрация!$B$7:$N$71,4,FALSE),1),"."))</f>
        <v xml:space="preserve"> </v>
      </c>
      <c r="J16" s="149"/>
      <c r="K16" s="628"/>
      <c r="L16" s="628"/>
      <c r="M16" s="628"/>
      <c r="N16" s="628"/>
      <c r="P16" s="587" t="str">
        <f>IF(Q16=0," ",CONCATENATE(VLOOKUP(Q16,Регистрация!$B$7:$N$71,3,FALSE)," ",LEFT(VLOOKUP(Q16,Регистрация!$B$7:$N$71,4,FALSE),1),"."))</f>
        <v xml:space="preserve"> </v>
      </c>
      <c r="Q16" s="585"/>
      <c r="R16" s="399"/>
      <c r="T16" s="397"/>
      <c r="U16" s="191"/>
      <c r="V16" s="616"/>
      <c r="W16" s="610"/>
      <c r="X16" s="77"/>
      <c r="Y16" s="77"/>
      <c r="Z16" s="77"/>
      <c r="AA16" s="77"/>
      <c r="AB16" s="77"/>
      <c r="AC16" s="77"/>
    </row>
    <row r="17" spans="1:29" s="153" customFormat="1" ht="5.25" customHeight="1">
      <c r="A17" s="155"/>
      <c r="B17" s="156"/>
      <c r="C17" s="156"/>
      <c r="D17" s="149"/>
      <c r="E17" s="389"/>
      <c r="F17" s="190"/>
      <c r="G17" s="391"/>
      <c r="H17" s="608"/>
      <c r="I17" s="606"/>
      <c r="J17" s="149"/>
      <c r="K17" s="628"/>
      <c r="L17" s="628"/>
      <c r="M17" s="628"/>
      <c r="N17" s="628"/>
      <c r="P17" s="588"/>
      <c r="Q17" s="586"/>
      <c r="R17" s="399"/>
      <c r="T17" s="397"/>
      <c r="U17" s="191"/>
      <c r="V17" s="158"/>
      <c r="W17" s="155"/>
      <c r="X17" s="77"/>
      <c r="Y17" s="77"/>
      <c r="Z17" s="77"/>
      <c r="AA17" s="77"/>
      <c r="AB17" s="77"/>
      <c r="AC17" s="77"/>
    </row>
    <row r="18" spans="1:29" s="153" customFormat="1" ht="5.25" customHeight="1">
      <c r="A18" s="579">
        <v>9</v>
      </c>
      <c r="B18" s="581" t="str">
        <f>IF(Регистрация!$D$6&lt;A18," ",CONCATENATE(VLOOKUP(A18,Регистрация!$B$7:$N$71,3,FALSE)," ",VLOOKUP(A18,Регистрация!$B$7:$N$71,4,FALSE)," ","(",VLOOKUP(A18,Регистрация!$B$7:$N$71,11,FALSE),")"))</f>
        <v xml:space="preserve"> </v>
      </c>
      <c r="C18" s="582"/>
      <c r="D18" s="149"/>
      <c r="E18" s="389"/>
      <c r="F18" s="151"/>
      <c r="G18" s="390"/>
      <c r="H18" s="159"/>
      <c r="I18" s="392"/>
      <c r="J18" s="149"/>
      <c r="K18" s="152"/>
      <c r="L18" s="635"/>
      <c r="M18" s="636"/>
      <c r="P18" s="154"/>
      <c r="R18" s="399"/>
      <c r="T18" s="397"/>
      <c r="U18" s="191"/>
      <c r="V18" s="611" t="str">
        <f>IF(Регистрация!$D$6&lt;W18," ",CONCATENATE(VLOOKUP(W18,Регистрация!$B$7:$N$71,3,FALSE)," ",VLOOKUP(W18,Регистрация!$B$7:$N$71,4,FALSE)," ","(",VLOOKUP(W18,Регистрация!$B$7:$N$71,11,FALSE),")"))</f>
        <v xml:space="preserve"> </v>
      </c>
      <c r="W18" s="613">
        <v>10</v>
      </c>
      <c r="X18" s="77"/>
      <c r="Y18" s="77"/>
      <c r="Z18" s="77"/>
      <c r="AA18" s="77"/>
      <c r="AB18" s="77"/>
      <c r="AC18" s="77"/>
    </row>
    <row r="19" spans="1:29" s="153" customFormat="1" ht="5.25" customHeight="1">
      <c r="A19" s="580"/>
      <c r="B19" s="583"/>
      <c r="C19" s="584"/>
      <c r="D19" s="597">
        <f>IF(A20&gt;$D$7,A18,)</f>
        <v>9</v>
      </c>
      <c r="E19" s="605" t="str">
        <f>IF(D19=0," ",CONCATENATE(VLOOKUP(D19,Регистрация!$B$7:$N$71,3,FALSE)," ",LEFT(VLOOKUP(D19,Регистрация!$B$7:$N$71,4,FALSE),1),"."))</f>
        <v xml:space="preserve"> .</v>
      </c>
      <c r="F19" s="151"/>
      <c r="G19" s="390"/>
      <c r="H19" s="159"/>
      <c r="I19" s="393"/>
      <c r="J19" s="149"/>
      <c r="K19" s="152"/>
      <c r="L19" s="637"/>
      <c r="M19" s="638"/>
      <c r="P19" s="157"/>
      <c r="R19" s="399"/>
      <c r="T19" s="587" t="str">
        <f>IF(U19=0," ",CONCATENATE(VLOOKUP(U19,Регистрация!$B$7:$N$71,3,FALSE)," ",LEFT(VLOOKUP(U19,Регистрация!$B$7:$N$71,4,FALSE),1),"."))</f>
        <v xml:space="preserve"> .</v>
      </c>
      <c r="U19" s="624">
        <f>IF(W20&gt;$D$7,W18,)</f>
        <v>10</v>
      </c>
      <c r="V19" s="612"/>
      <c r="W19" s="614"/>
      <c r="X19" s="77"/>
      <c r="Y19" s="77"/>
      <c r="Z19" s="77"/>
      <c r="AA19" s="77"/>
      <c r="AB19" s="77"/>
      <c r="AC19" s="77"/>
    </row>
    <row r="20" spans="1:29" s="153" customFormat="1" ht="5.25" customHeight="1">
      <c r="A20" s="599">
        <v>41</v>
      </c>
      <c r="B20" s="592" t="str">
        <f>IF(Регистрация!$D$6&lt;A20," ",CONCATENATE(VLOOKUP(A20,Регистрация!$B$7:$N$71,3,FALSE)," ",VLOOKUP(A20,Регистрация!$B$7:$N$71,4,FALSE)," ","(",VLOOKUP(A20,Регистрация!$B$7:$N$71,11,FALSE),")"))</f>
        <v xml:space="preserve"> </v>
      </c>
      <c r="C20" s="593"/>
      <c r="D20" s="598"/>
      <c r="E20" s="606"/>
      <c r="F20" s="151"/>
      <c r="G20" s="390"/>
      <c r="H20" s="159"/>
      <c r="I20" s="393"/>
      <c r="J20" s="149"/>
      <c r="K20" s="629" t="str">
        <f>IF(L18=0," ",CONCATENATE(VLOOKUP(L18,Регистрация!$B$7:$N$71,3,FALSE)," ",VLOOKUP(L18,Регистрация!$B$7:$N$71,4,FALSE)))</f>
        <v xml:space="preserve"> </v>
      </c>
      <c r="L20" s="630"/>
      <c r="M20" s="630"/>
      <c r="N20" s="631"/>
      <c r="P20" s="157"/>
      <c r="R20" s="400"/>
      <c r="T20" s="588"/>
      <c r="U20" s="625"/>
      <c r="V20" s="615" t="str">
        <f>IF(Регистрация!$D$6&lt;W20," ",CONCATENATE(VLOOKUP(W20,Регистрация!$B$7:$N$71,3,FALSE)," ",VLOOKUP(W20,Регистрация!$B$7:$N$71,4,FALSE)," ","(",VLOOKUP(W20,Регистрация!$B$7:$N$71,11,FALSE),")"))</f>
        <v xml:space="preserve"> </v>
      </c>
      <c r="W20" s="609">
        <v>42</v>
      </c>
      <c r="X20" s="77"/>
      <c r="Y20" s="77"/>
      <c r="Z20" s="77"/>
      <c r="AA20" s="77"/>
      <c r="AB20" s="77"/>
      <c r="AC20" s="77"/>
    </row>
    <row r="21" spans="1:29" s="153" customFormat="1" ht="5.25" customHeight="1">
      <c r="A21" s="600"/>
      <c r="B21" s="594"/>
      <c r="C21" s="595"/>
      <c r="D21" s="149"/>
      <c r="E21" s="389"/>
      <c r="F21" s="607"/>
      <c r="G21" s="605" t="str">
        <f>IF(F21=0," ",CONCATENATE(VLOOKUP(F21,Регистрация!$B$7:$N$71,3,FALSE)," ",LEFT(VLOOKUP(F21,Регистрация!$B$7:$N$71,4,FALSE),1),"."))</f>
        <v xml:space="preserve"> </v>
      </c>
      <c r="H21" s="151"/>
      <c r="I21" s="393"/>
      <c r="J21" s="149"/>
      <c r="K21" s="632"/>
      <c r="L21" s="633"/>
      <c r="M21" s="633"/>
      <c r="N21" s="634"/>
      <c r="P21" s="157"/>
      <c r="R21" s="587" t="str">
        <f>IF(S21=0," ",CONCATENATE(VLOOKUP(S21,Регистрация!$B$7:$N$71,3,FALSE)," ",LEFT(VLOOKUP(S21,Регистрация!$B$7:$N$71,4,FALSE),1),"."))</f>
        <v xml:space="preserve"> </v>
      </c>
      <c r="S21" s="585"/>
      <c r="T21" s="397"/>
      <c r="U21" s="191"/>
      <c r="V21" s="616"/>
      <c r="W21" s="610"/>
      <c r="X21" s="77"/>
      <c r="Y21" s="77"/>
      <c r="Z21" s="77"/>
      <c r="AA21" s="77"/>
      <c r="AB21" s="77"/>
      <c r="AC21" s="77"/>
    </row>
    <row r="22" spans="1:29" s="153" customFormat="1" ht="5.25" customHeight="1">
      <c r="A22" s="155"/>
      <c r="B22" s="156"/>
      <c r="C22" s="156"/>
      <c r="D22" s="149"/>
      <c r="E22" s="389"/>
      <c r="F22" s="608"/>
      <c r="G22" s="606"/>
      <c r="H22" s="151"/>
      <c r="I22" s="393"/>
      <c r="J22" s="149"/>
      <c r="K22" s="152"/>
      <c r="P22" s="157"/>
      <c r="R22" s="588"/>
      <c r="S22" s="586"/>
      <c r="T22" s="397"/>
      <c r="U22" s="191"/>
      <c r="V22" s="158"/>
      <c r="W22" s="155"/>
      <c r="X22" s="77"/>
      <c r="Y22" s="77"/>
      <c r="Z22" s="77"/>
      <c r="AA22" s="77"/>
      <c r="AB22" s="77"/>
      <c r="AC22" s="77"/>
    </row>
    <row r="23" spans="1:29" s="153" customFormat="1" ht="5.25" customHeight="1">
      <c r="A23" s="579">
        <v>25</v>
      </c>
      <c r="B23" s="581" t="str">
        <f>IF(Регистрация!$D$6&lt;A23," ",CONCATENATE(VLOOKUP(A23,Регистрация!$B$7:$N$71,3,FALSE)," ",VLOOKUP(A23,Регистрация!$B$7:$N$71,4,FALSE)," ","(",VLOOKUP(A23,Регистрация!$B$7:$N$71,11,FALSE),")"))</f>
        <v xml:space="preserve"> </v>
      </c>
      <c r="C23" s="582"/>
      <c r="D23" s="149"/>
      <c r="E23" s="389"/>
      <c r="F23" s="164"/>
      <c r="G23" s="390"/>
      <c r="H23" s="151"/>
      <c r="I23" s="393"/>
      <c r="J23" s="149"/>
      <c r="K23" s="152"/>
      <c r="P23" s="157"/>
      <c r="R23" s="397"/>
      <c r="T23" s="400"/>
      <c r="U23" s="191"/>
      <c r="V23" s="611" t="str">
        <f>IF(Регистрация!$D$6&lt;W23," ",CONCATENATE(VLOOKUP(W23,Регистрация!$B$7:$N$71,3,FALSE)," ",VLOOKUP(W23,Регистрация!$B$7:$N$71,4,FALSE)," ","(",VLOOKUP(W23,Регистрация!$B$7:$N$71,11,FALSE),")"))</f>
        <v xml:space="preserve"> </v>
      </c>
      <c r="W23" s="613">
        <v>26</v>
      </c>
      <c r="X23" s="77"/>
      <c r="Y23" s="77"/>
      <c r="Z23" s="77"/>
      <c r="AA23" s="77"/>
      <c r="AB23" s="77"/>
      <c r="AC23" s="77"/>
    </row>
    <row r="24" spans="1:29" s="153" customFormat="1" ht="5.25" customHeight="1">
      <c r="A24" s="580"/>
      <c r="B24" s="583"/>
      <c r="C24" s="584"/>
      <c r="D24" s="597">
        <f>IF(A25&gt;$D$7,A23,)</f>
        <v>25</v>
      </c>
      <c r="E24" s="605" t="str">
        <f>IF(D24=0," ",CONCATENATE(VLOOKUP(D24,Регистрация!$B$7:$N$71,3,FALSE)," ",LEFT(VLOOKUP(D24,Регистрация!$B$7:$N$71,4,FALSE),1),"."))</f>
        <v xml:space="preserve"> .</v>
      </c>
      <c r="F24" s="151"/>
      <c r="G24" s="390"/>
      <c r="H24" s="151"/>
      <c r="I24" s="393"/>
      <c r="J24" s="149"/>
      <c r="K24" s="152"/>
      <c r="P24" s="157"/>
      <c r="R24" s="397"/>
      <c r="T24" s="587" t="str">
        <f>IF(U24=0," ",CONCATENATE(VLOOKUP(U24,Регистрация!$B$7:$N$71,3,FALSE)," ",LEFT(VLOOKUP(U24,Регистрация!$B$7:$N$71,4,FALSE),1),"."))</f>
        <v xml:space="preserve"> .</v>
      </c>
      <c r="U24" s="624">
        <f>IF(W25&gt;$D$7,W23,)</f>
        <v>26</v>
      </c>
      <c r="V24" s="612"/>
      <c r="W24" s="614"/>
      <c r="X24" s="77"/>
      <c r="Y24" s="77"/>
      <c r="Z24" s="77"/>
      <c r="AA24" s="77"/>
      <c r="AB24" s="77"/>
      <c r="AC24" s="77"/>
    </row>
    <row r="25" spans="1:29" s="153" customFormat="1" ht="5.25" customHeight="1">
      <c r="A25" s="599">
        <v>57</v>
      </c>
      <c r="B25" s="592" t="str">
        <f>IF(Регистрация!$D$6&lt;A25," ",CONCATENATE(VLOOKUP(A25,Регистрация!$B$7:$N$71,3,FALSE)," ",VLOOKUP(A25,Регистрация!$B$7:$N$71,4,FALSE)," ","(",VLOOKUP(A25,Регистрация!$B$7:$N$71,11,FALSE),")"))</f>
        <v xml:space="preserve"> </v>
      </c>
      <c r="C25" s="593"/>
      <c r="D25" s="598"/>
      <c r="E25" s="606"/>
      <c r="F25" s="151"/>
      <c r="G25" s="390"/>
      <c r="H25" s="151"/>
      <c r="I25" s="393"/>
      <c r="J25" s="149"/>
      <c r="K25" s="152"/>
      <c r="P25" s="157"/>
      <c r="R25" s="397"/>
      <c r="T25" s="588"/>
      <c r="U25" s="625"/>
      <c r="V25" s="615" t="str">
        <f>IF(Регистрация!$D$6&lt;W25," ",CONCATENATE(VLOOKUP(W25,Регистрация!$B$7:$N$71,3,FALSE)," ",VLOOKUP(W25,Регистрация!$B$7:$N$71,4,FALSE)," ","(",VLOOKUP(W25,Регистрация!$B$7:$N$71,11,FALSE),")"))</f>
        <v xml:space="preserve"> </v>
      </c>
      <c r="W25" s="609">
        <v>58</v>
      </c>
      <c r="X25" s="77"/>
      <c r="Y25" s="77"/>
      <c r="Z25" s="77"/>
      <c r="AA25" s="77"/>
      <c r="AB25" s="77"/>
      <c r="AC25" s="77"/>
    </row>
    <row r="26" spans="1:29" s="153" customFormat="1" ht="5.25" customHeight="1">
      <c r="A26" s="600"/>
      <c r="B26" s="594"/>
      <c r="C26" s="595"/>
      <c r="D26" s="149"/>
      <c r="E26" s="389"/>
      <c r="F26" s="190"/>
      <c r="G26" s="391"/>
      <c r="H26" s="151"/>
      <c r="I26" s="393"/>
      <c r="J26" s="607"/>
      <c r="K26" s="605" t="str">
        <f>IF(J26=0," ",CONCATENATE(VLOOKUP(J26,Регистрация!$B$7:$N$71,3,FALSE)," ",LEFT(VLOOKUP(J26,Регистрация!$B$7:$N$71,4,FALSE),1),"."))</f>
        <v xml:space="preserve"> </v>
      </c>
      <c r="N26" s="587" t="str">
        <f>IF(O26=0," ",CONCATENATE(VLOOKUP(O26,Регистрация!$B$7:$N$71,3,FALSE)," ",LEFT(VLOOKUP(O26,Регистрация!$B$7:$N$71,4,FALSE),1),"."))</f>
        <v xml:space="preserve"> </v>
      </c>
      <c r="O26" s="626"/>
      <c r="P26" s="157"/>
      <c r="R26" s="397"/>
      <c r="T26" s="397"/>
      <c r="U26" s="191"/>
      <c r="V26" s="616"/>
      <c r="W26" s="610"/>
      <c r="X26" s="77"/>
      <c r="Y26" s="77"/>
      <c r="Z26" s="77"/>
      <c r="AA26" s="77"/>
      <c r="AB26" s="77"/>
      <c r="AC26" s="77"/>
    </row>
    <row r="27" spans="1:29" s="153" customFormat="1" ht="5.25" customHeight="1">
      <c r="A27" s="155"/>
      <c r="B27" s="156"/>
      <c r="C27" s="156"/>
      <c r="D27" s="149"/>
      <c r="E27" s="389"/>
      <c r="F27" s="190"/>
      <c r="G27" s="391"/>
      <c r="H27" s="151"/>
      <c r="I27" s="393"/>
      <c r="J27" s="608"/>
      <c r="K27" s="606"/>
      <c r="N27" s="588"/>
      <c r="O27" s="627"/>
      <c r="P27" s="157"/>
      <c r="R27" s="397"/>
      <c r="T27" s="397"/>
      <c r="U27" s="191"/>
      <c r="V27" s="158"/>
      <c r="W27" s="155"/>
      <c r="X27" s="77"/>
      <c r="Y27" s="77"/>
      <c r="Z27" s="77"/>
      <c r="AA27" s="77"/>
      <c r="AB27" s="77"/>
      <c r="AC27" s="77"/>
    </row>
    <row r="28" spans="1:29" s="153" customFormat="1" ht="5.25" customHeight="1">
      <c r="A28" s="579">
        <v>5</v>
      </c>
      <c r="B28" s="581" t="str">
        <f>IF(Регистрация!$D$6&lt;A28," ",CONCATENATE(VLOOKUP(A28,Регистрация!$B$7:$N$71,3,FALSE)," ",VLOOKUP(A28,Регистрация!$B$7:$N$71,4,FALSE)," ","(",VLOOKUP(A28,Регистрация!$B$7:$N$71,11,FALSE),")"))</f>
        <v>Носкова Александра (Политех)</v>
      </c>
      <c r="C28" s="582"/>
      <c r="D28" s="149"/>
      <c r="E28" s="389"/>
      <c r="F28" s="151"/>
      <c r="G28" s="390"/>
      <c r="H28" s="151"/>
      <c r="I28" s="393"/>
      <c r="J28" s="149"/>
      <c r="K28" s="161"/>
      <c r="N28" s="154"/>
      <c r="P28" s="157"/>
      <c r="R28" s="397"/>
      <c r="T28" s="397"/>
      <c r="U28" s="191"/>
      <c r="V28" s="611" t="str">
        <f>IF(Регистрация!$D$6&lt;W28," ",CONCATENATE(VLOOKUP(W28,Регистрация!$B$7:$N$71,3,FALSE)," ",VLOOKUP(W28,Регистрация!$B$7:$N$71,4,FALSE)," ","(",VLOOKUP(W28,Регистрация!$B$7:$N$71,11,FALSE),")"))</f>
        <v>Павлова Мария (Политех)</v>
      </c>
      <c r="W28" s="613">
        <v>6</v>
      </c>
      <c r="X28" s="77"/>
      <c r="Y28" s="77"/>
      <c r="Z28" s="77"/>
      <c r="AA28" s="77"/>
      <c r="AB28" s="77"/>
      <c r="AC28" s="77"/>
    </row>
    <row r="29" spans="1:29" s="153" customFormat="1" ht="5.25" customHeight="1">
      <c r="A29" s="580"/>
      <c r="B29" s="583"/>
      <c r="C29" s="584"/>
      <c r="D29" s="597">
        <f>IF(A30&gt;$D$7,A28,)</f>
        <v>5</v>
      </c>
      <c r="E29" s="605" t="str">
        <f>IF(D29=0," ",CONCATENATE(VLOOKUP(D29,Регистрация!$B$7:$N$71,3,FALSE)," ",LEFT(VLOOKUP(D29,Регистрация!$B$7:$N$71,4,FALSE),1),"."))</f>
        <v>Носкова А.</v>
      </c>
      <c r="F29" s="151"/>
      <c r="G29" s="390"/>
      <c r="H29" s="151"/>
      <c r="I29" s="393"/>
      <c r="J29" s="149"/>
      <c r="K29" s="162"/>
      <c r="N29" s="157"/>
      <c r="P29" s="157"/>
      <c r="R29" s="397"/>
      <c r="T29" s="587" t="str">
        <f>IF(U29=0," ",CONCATENATE(VLOOKUP(U29,Регистрация!$B$7:$N$71,3,FALSE)," ",LEFT(VLOOKUP(U29,Регистрация!$B$7:$N$71,4,FALSE),1),"."))</f>
        <v>Павлова М.</v>
      </c>
      <c r="U29" s="624">
        <f>IF(W30&gt;$D$7,W28,)</f>
        <v>6</v>
      </c>
      <c r="V29" s="612"/>
      <c r="W29" s="614"/>
      <c r="X29" s="77"/>
      <c r="Y29" s="77"/>
      <c r="Z29" s="77"/>
      <c r="AA29" s="77"/>
      <c r="AB29" s="77"/>
      <c r="AC29" s="77"/>
    </row>
    <row r="30" spans="1:29" s="153" customFormat="1" ht="5.25" customHeight="1">
      <c r="A30" s="599">
        <v>37</v>
      </c>
      <c r="B30" s="592" t="str">
        <f>IF(Регистрация!$D$6&lt;A30," ",CONCATENATE(VLOOKUP(A30,Регистрация!$B$7:$N$71,3,FALSE)," ",VLOOKUP(A30,Регистрация!$B$7:$N$71,4,FALSE)," ","(",VLOOKUP(A30,Регистрация!$B$7:$N$71,11,FALSE),")"))</f>
        <v xml:space="preserve"> </v>
      </c>
      <c r="C30" s="593"/>
      <c r="D30" s="598"/>
      <c r="E30" s="606"/>
      <c r="F30" s="151"/>
      <c r="G30" s="390"/>
      <c r="H30" s="151"/>
      <c r="I30" s="393"/>
      <c r="J30" s="149"/>
      <c r="K30" s="162"/>
      <c r="N30" s="157"/>
      <c r="P30" s="157"/>
      <c r="R30" s="397"/>
      <c r="T30" s="588"/>
      <c r="U30" s="625"/>
      <c r="V30" s="615" t="str">
        <f>IF(Регистрация!$D$6&lt;W30," ",CONCATENATE(VLOOKUP(W30,Регистрация!$B$7:$N$71,3,FALSE)," ",VLOOKUP(W30,Регистрация!$B$7:$N$71,4,FALSE)," ","(",VLOOKUP(W30,Регистрация!$B$7:$N$71,11,FALSE),")"))</f>
        <v xml:space="preserve"> </v>
      </c>
      <c r="W30" s="609">
        <v>38</v>
      </c>
      <c r="X30" s="77"/>
      <c r="Y30" s="77"/>
      <c r="Z30" s="77"/>
      <c r="AA30" s="77"/>
      <c r="AB30" s="77"/>
      <c r="AC30" s="77"/>
    </row>
    <row r="31" spans="1:29" s="153" customFormat="1" ht="5.25" customHeight="1">
      <c r="A31" s="600"/>
      <c r="B31" s="594"/>
      <c r="C31" s="595"/>
      <c r="D31" s="149"/>
      <c r="E31" s="389"/>
      <c r="F31" s="607"/>
      <c r="G31" s="605" t="str">
        <f>IF(F31=0," ",CONCATENATE(VLOOKUP(F31,Регистрация!$B$7:$N$71,3,FALSE)," ",LEFT(VLOOKUP(F31,Регистрация!$B$7:$N$71,4,FALSE),1),"."))</f>
        <v xml:space="preserve"> </v>
      </c>
      <c r="H31" s="151"/>
      <c r="I31" s="393"/>
      <c r="J31" s="149"/>
      <c r="K31" s="162"/>
      <c r="N31" s="157"/>
      <c r="P31" s="157"/>
      <c r="R31" s="587" t="str">
        <f>IF(S31=0," ",CONCATENATE(VLOOKUP(S31,Регистрация!$B$7:$N$71,3,FALSE)," ",LEFT(VLOOKUP(S31,Регистрация!$B$7:$N$71,4,FALSE),1),"."))</f>
        <v xml:space="preserve"> </v>
      </c>
      <c r="S31" s="585"/>
      <c r="T31" s="397"/>
      <c r="U31" s="191"/>
      <c r="V31" s="616"/>
      <c r="W31" s="610"/>
      <c r="X31" s="77"/>
      <c r="Y31" s="77"/>
      <c r="Z31" s="77"/>
      <c r="AA31" s="77"/>
      <c r="AB31" s="77"/>
      <c r="AC31" s="77"/>
    </row>
    <row r="32" spans="1:29" s="153" customFormat="1" ht="5.25" customHeight="1">
      <c r="A32" s="155"/>
      <c r="B32" s="156"/>
      <c r="C32" s="156"/>
      <c r="D32" s="149"/>
      <c r="E32" s="389"/>
      <c r="F32" s="608"/>
      <c r="G32" s="606"/>
      <c r="H32" s="151"/>
      <c r="I32" s="393"/>
      <c r="J32" s="149"/>
      <c r="K32" s="162"/>
      <c r="N32" s="157"/>
      <c r="P32" s="157"/>
      <c r="R32" s="588"/>
      <c r="S32" s="586"/>
      <c r="T32" s="397"/>
      <c r="U32" s="191"/>
      <c r="V32" s="158"/>
      <c r="W32" s="155"/>
      <c r="X32" s="77"/>
      <c r="Y32" s="77"/>
      <c r="Z32" s="77"/>
      <c r="AA32" s="77"/>
      <c r="AB32" s="77"/>
      <c r="AC32" s="77"/>
    </row>
    <row r="33" spans="1:29" s="153" customFormat="1" ht="5.25" customHeight="1">
      <c r="A33" s="579">
        <v>21</v>
      </c>
      <c r="B33" s="581" t="str">
        <f>IF(Регистрация!$D$6&lt;A33," ",CONCATENATE(VLOOKUP(A33,Регистрация!$B$7:$N$71,3,FALSE)," ",VLOOKUP(A33,Регистрация!$B$7:$N$71,4,FALSE)," ","(",VLOOKUP(A33,Регистрация!$B$7:$N$71,11,FALSE),")"))</f>
        <v xml:space="preserve"> </v>
      </c>
      <c r="C33" s="582"/>
      <c r="D33" s="149"/>
      <c r="E33" s="389"/>
      <c r="F33" s="164"/>
      <c r="G33" s="390"/>
      <c r="H33" s="159"/>
      <c r="I33" s="393"/>
      <c r="J33" s="149"/>
      <c r="K33" s="162"/>
      <c r="N33" s="157"/>
      <c r="P33" s="157"/>
      <c r="R33" s="398"/>
      <c r="T33" s="400"/>
      <c r="U33" s="191"/>
      <c r="V33" s="611" t="str">
        <f>IF(Регистрация!$D$6&lt;W33," ",CONCATENATE(VLOOKUP(W33,Регистрация!$B$7:$N$71,3,FALSE)," ",VLOOKUP(W33,Регистрация!$B$7:$N$71,4,FALSE)," ","(",VLOOKUP(W33,Регистрация!$B$7:$N$71,11,FALSE),")"))</f>
        <v xml:space="preserve"> </v>
      </c>
      <c r="W33" s="613">
        <v>22</v>
      </c>
      <c r="X33" s="77"/>
      <c r="Y33" s="77"/>
      <c r="Z33" s="77"/>
      <c r="AA33" s="77"/>
      <c r="AB33" s="77"/>
      <c r="AC33" s="77"/>
    </row>
    <row r="34" spans="1:29" s="153" customFormat="1" ht="5.25" customHeight="1">
      <c r="A34" s="580"/>
      <c r="B34" s="583"/>
      <c r="C34" s="584"/>
      <c r="D34" s="597">
        <f>IF(A35&gt;$D$7,A33,)</f>
        <v>21</v>
      </c>
      <c r="E34" s="605" t="str">
        <f>IF(D34=0," ",CONCATENATE(VLOOKUP(D34,Регистрация!$B$7:$N$71,3,FALSE)," ",LEFT(VLOOKUP(D34,Регистрация!$B$7:$N$71,4,FALSE),1),"."))</f>
        <v xml:space="preserve"> .</v>
      </c>
      <c r="F34" s="151"/>
      <c r="G34" s="390"/>
      <c r="H34" s="159"/>
      <c r="I34" s="393"/>
      <c r="J34" s="149"/>
      <c r="K34" s="162"/>
      <c r="N34" s="157"/>
      <c r="P34" s="157"/>
      <c r="R34" s="399"/>
      <c r="T34" s="587" t="str">
        <f>IF(U34=0," ",CONCATENATE(VLOOKUP(U34,Регистрация!$B$7:$N$71,3,FALSE)," ",LEFT(VLOOKUP(U34,Регистрация!$B$7:$N$71,4,FALSE),1),"."))</f>
        <v xml:space="preserve"> .</v>
      </c>
      <c r="U34" s="624">
        <f>IF(W35&gt;$D$7,W33,)</f>
        <v>22</v>
      </c>
      <c r="V34" s="612"/>
      <c r="W34" s="614"/>
      <c r="X34" s="77"/>
      <c r="Y34" s="77"/>
      <c r="Z34" s="77"/>
      <c r="AA34" s="77"/>
      <c r="AB34" s="77"/>
      <c r="AC34" s="77"/>
    </row>
    <row r="35" spans="1:29" s="153" customFormat="1" ht="5.25" customHeight="1">
      <c r="A35" s="599">
        <v>53</v>
      </c>
      <c r="B35" s="592" t="str">
        <f>IF(Регистрация!$D$6&lt;A35," ",CONCATENATE(VLOOKUP(A35,Регистрация!$B$7:$N$71,3,FALSE)," ",VLOOKUP(A35,Регистрация!$B$7:$N$71,4,FALSE)," ","(",VLOOKUP(A35,Регистрация!$B$7:$N$71,11,FALSE),")"))</f>
        <v xml:space="preserve"> </v>
      </c>
      <c r="C35" s="593"/>
      <c r="D35" s="598"/>
      <c r="E35" s="606"/>
      <c r="F35" s="151"/>
      <c r="G35" s="390"/>
      <c r="H35" s="159"/>
      <c r="I35" s="394"/>
      <c r="J35" s="149"/>
      <c r="K35" s="162"/>
      <c r="N35" s="157"/>
      <c r="P35" s="160"/>
      <c r="R35" s="399"/>
      <c r="T35" s="588"/>
      <c r="U35" s="625"/>
      <c r="V35" s="615" t="str">
        <f>IF(Регистрация!$D$6&lt;W35," ",CONCATENATE(VLOOKUP(W35,Регистрация!$B$7:$N$71,3,FALSE)," ",VLOOKUP(W35,Регистрация!$B$7:$N$71,4,FALSE)," ","(",VLOOKUP(W35,Регистрация!$B$7:$N$71,11,FALSE),")"))</f>
        <v xml:space="preserve"> </v>
      </c>
      <c r="W35" s="609">
        <v>54</v>
      </c>
      <c r="X35" s="77"/>
      <c r="Y35" s="77"/>
      <c r="Z35" s="77"/>
      <c r="AA35" s="77"/>
      <c r="AB35" s="77"/>
      <c r="AC35" s="77"/>
    </row>
    <row r="36" spans="1:29" s="153" customFormat="1" ht="5.25" customHeight="1">
      <c r="A36" s="600"/>
      <c r="B36" s="594"/>
      <c r="C36" s="595"/>
      <c r="D36" s="149"/>
      <c r="E36" s="389"/>
      <c r="F36" s="151"/>
      <c r="G36" s="390"/>
      <c r="H36" s="607"/>
      <c r="I36" s="605" t="str">
        <f>IF(H36=0," ",CONCATENATE(VLOOKUP(H36,Регистрация!$B$7:$N$71,3,FALSE)," ",LEFT(VLOOKUP(H36,Регистрация!$B$7:$N$71,4,FALSE),1),"."))</f>
        <v xml:space="preserve"> </v>
      </c>
      <c r="J36" s="149"/>
      <c r="K36" s="162"/>
      <c r="N36" s="157"/>
      <c r="P36" s="587" t="str">
        <f>IF(Q36=0," ",CONCATENATE(VLOOKUP(Q36,Регистрация!$B$7:$N$71,3,FALSE)," ",LEFT(VLOOKUP(Q36,Регистрация!$B$7:$N$71,4,FALSE),1),"."))</f>
        <v xml:space="preserve"> </v>
      </c>
      <c r="Q36" s="626"/>
      <c r="R36" s="399"/>
      <c r="T36" s="397"/>
      <c r="U36" s="191"/>
      <c r="V36" s="616"/>
      <c r="W36" s="610"/>
      <c r="X36" s="77"/>
      <c r="Y36" s="77"/>
      <c r="Z36" s="77"/>
      <c r="AA36" s="77"/>
      <c r="AB36" s="77"/>
      <c r="AC36" s="77"/>
    </row>
    <row r="37" spans="1:29" s="153" customFormat="1" ht="5.25" customHeight="1">
      <c r="A37" s="155"/>
      <c r="B37" s="156"/>
      <c r="C37" s="156"/>
      <c r="D37" s="149"/>
      <c r="E37" s="389"/>
      <c r="F37" s="151"/>
      <c r="G37" s="390"/>
      <c r="H37" s="608"/>
      <c r="I37" s="606"/>
      <c r="J37" s="149"/>
      <c r="K37" s="162"/>
      <c r="N37" s="157"/>
      <c r="P37" s="588"/>
      <c r="Q37" s="627"/>
      <c r="R37" s="399"/>
      <c r="T37" s="397"/>
      <c r="U37" s="191"/>
      <c r="V37" s="158"/>
      <c r="W37" s="155"/>
      <c r="X37" s="77"/>
      <c r="Y37" s="77"/>
      <c r="Z37" s="77"/>
      <c r="AA37" s="77"/>
      <c r="AB37" s="77"/>
      <c r="AC37" s="77"/>
    </row>
    <row r="38" spans="1:29" s="153" customFormat="1" ht="5.25" customHeight="1">
      <c r="A38" s="579">
        <v>13</v>
      </c>
      <c r="B38" s="581" t="str">
        <f>IF(Регистрация!$D$6&lt;A38," ",CONCATENATE(VLOOKUP(A38,Регистрация!$B$7:$N$71,3,FALSE)," ",VLOOKUP(A38,Регистрация!$B$7:$N$71,4,FALSE)," ","(",VLOOKUP(A38,Регистрация!$B$7:$N$71,11,FALSE),")"))</f>
        <v xml:space="preserve"> </v>
      </c>
      <c r="C38" s="582"/>
      <c r="D38" s="149"/>
      <c r="E38" s="389"/>
      <c r="F38" s="151"/>
      <c r="G38" s="390"/>
      <c r="H38" s="159"/>
      <c r="I38" s="395"/>
      <c r="J38" s="149"/>
      <c r="K38" s="162"/>
      <c r="N38" s="157"/>
      <c r="P38" s="397"/>
      <c r="R38" s="399"/>
      <c r="T38" s="397"/>
      <c r="U38" s="191"/>
      <c r="V38" s="611" t="str">
        <f>IF(Регистрация!$D$6&lt;W38," ",CONCATENATE(VLOOKUP(W38,Регистрация!$B$7:$N$71,3,FALSE)," ",VLOOKUP(W38,Регистрация!$B$7:$N$71,4,FALSE)," ","(",VLOOKUP(W38,Регистрация!$B$7:$N$71,11,FALSE),")"))</f>
        <v xml:space="preserve"> </v>
      </c>
      <c r="W38" s="613">
        <v>14</v>
      </c>
      <c r="X38" s="77"/>
      <c r="Y38" s="77"/>
      <c r="Z38" s="77"/>
      <c r="AA38" s="77"/>
      <c r="AB38" s="77"/>
      <c r="AC38" s="77"/>
    </row>
    <row r="39" spans="1:29" s="153" customFormat="1" ht="5.25" customHeight="1">
      <c r="A39" s="580"/>
      <c r="B39" s="583"/>
      <c r="C39" s="584"/>
      <c r="D39" s="597">
        <f>IF(A40&gt;$D$7,A38,)</f>
        <v>13</v>
      </c>
      <c r="E39" s="605" t="str">
        <f>IF(D39=0," ",CONCATENATE(VLOOKUP(D39,Регистрация!$B$7:$N$71,3,FALSE)," ",LEFT(VLOOKUP(D39,Регистрация!$B$7:$N$71,4,FALSE),1),"."))</f>
        <v xml:space="preserve"> .</v>
      </c>
      <c r="F39" s="151"/>
      <c r="G39" s="390"/>
      <c r="H39" s="159"/>
      <c r="I39" s="395"/>
      <c r="J39" s="149"/>
      <c r="K39" s="162"/>
      <c r="N39" s="157"/>
      <c r="P39" s="397"/>
      <c r="R39" s="399"/>
      <c r="T39" s="587" t="str">
        <f>IF(U39=0," ",CONCATENATE(VLOOKUP(U39,Регистрация!$B$7:$N$71,3,FALSE)," ",LEFT(VLOOKUP(U39,Регистрация!$B$7:$N$71,4,FALSE),1),"."))</f>
        <v xml:space="preserve"> .</v>
      </c>
      <c r="U39" s="624">
        <f>IF(W40&gt;$D$7,W38,)</f>
        <v>14</v>
      </c>
      <c r="V39" s="612"/>
      <c r="W39" s="614"/>
      <c r="X39" s="77"/>
      <c r="Y39" s="77"/>
      <c r="Z39" s="77"/>
      <c r="AA39" s="77"/>
      <c r="AB39" s="77"/>
      <c r="AC39" s="77"/>
    </row>
    <row r="40" spans="1:29" s="153" customFormat="1" ht="5.25" customHeight="1">
      <c r="A40" s="599">
        <v>45</v>
      </c>
      <c r="B40" s="592" t="str">
        <f>IF(Регистрация!$D$6&lt;A40," ",CONCATENATE(VLOOKUP(A40,Регистрация!$B$7:$N$71,3,FALSE)," ",VLOOKUP(A40,Регистрация!$B$7:$N$71,4,FALSE)," ","(",VLOOKUP(A40,Регистрация!$B$7:$N$71,11,FALSE),")"))</f>
        <v xml:space="preserve"> </v>
      </c>
      <c r="C40" s="593"/>
      <c r="D40" s="598"/>
      <c r="E40" s="606"/>
      <c r="F40" s="151"/>
      <c r="G40" s="390"/>
      <c r="H40" s="159"/>
      <c r="I40" s="395"/>
      <c r="J40" s="149"/>
      <c r="K40" s="162"/>
      <c r="N40" s="157"/>
      <c r="R40" s="400"/>
      <c r="T40" s="588"/>
      <c r="U40" s="625"/>
      <c r="V40" s="615" t="str">
        <f>IF(Регистрация!$D$6&lt;W40," ",CONCATENATE(VLOOKUP(W40,Регистрация!$B$7:$N$71,3,FALSE)," ",VLOOKUP(W40,Регистрация!$B$7:$N$71,4,FALSE)," ","(",VLOOKUP(W40,Регистрация!$B$7:$N$71,11,FALSE),")"))</f>
        <v xml:space="preserve"> </v>
      </c>
      <c r="W40" s="609">
        <v>46</v>
      </c>
      <c r="X40" s="77"/>
      <c r="Y40" s="77"/>
      <c r="Z40" s="77"/>
      <c r="AA40" s="77"/>
      <c r="AB40" s="77"/>
      <c r="AC40" s="77"/>
    </row>
    <row r="41" spans="1:29" s="153" customFormat="1" ht="5.25" customHeight="1">
      <c r="A41" s="600"/>
      <c r="B41" s="594"/>
      <c r="C41" s="595"/>
      <c r="D41" s="149"/>
      <c r="E41" s="389"/>
      <c r="F41" s="607"/>
      <c r="G41" s="605" t="str">
        <f>IF(F41=0," ",CONCATENATE(VLOOKUP(F41,Регистрация!$B$7:$N$71,3,FALSE)," ",LEFT(VLOOKUP(F41,Регистрация!$B$7:$N$71,4,FALSE),1),"."))</f>
        <v xml:space="preserve"> </v>
      </c>
      <c r="H41" s="151"/>
      <c r="I41" s="395"/>
      <c r="J41" s="149"/>
      <c r="K41" s="162"/>
      <c r="N41" s="157"/>
      <c r="R41" s="587" t="str">
        <f>IF(S41=0," ",CONCATENATE(VLOOKUP(S41,Регистрация!$B$7:$N$71,3,FALSE)," ",LEFT(VLOOKUP(S41,Регистрация!$B$7:$N$71,4,FALSE),1),"."))</f>
        <v xml:space="preserve"> </v>
      </c>
      <c r="S41" s="585"/>
      <c r="T41" s="397"/>
      <c r="U41" s="191"/>
      <c r="V41" s="616"/>
      <c r="W41" s="610"/>
      <c r="X41" s="77"/>
      <c r="Y41" s="77"/>
      <c r="Z41" s="77"/>
      <c r="AA41" s="77"/>
      <c r="AB41" s="77"/>
      <c r="AC41" s="77"/>
    </row>
    <row r="42" spans="1:29" s="153" customFormat="1" ht="5.25" customHeight="1">
      <c r="A42" s="155"/>
      <c r="B42" s="156"/>
      <c r="C42" s="156"/>
      <c r="D42" s="149"/>
      <c r="E42" s="389"/>
      <c r="F42" s="608"/>
      <c r="G42" s="606"/>
      <c r="H42" s="151"/>
      <c r="I42" s="395"/>
      <c r="J42" s="149"/>
      <c r="K42" s="162"/>
      <c r="N42" s="157"/>
      <c r="R42" s="588"/>
      <c r="S42" s="586"/>
      <c r="T42" s="397"/>
      <c r="U42" s="191"/>
      <c r="V42" s="158"/>
      <c r="W42" s="155"/>
      <c r="X42" s="77"/>
      <c r="Y42" s="77"/>
      <c r="Z42" s="77"/>
      <c r="AA42" s="77"/>
      <c r="AB42" s="77"/>
      <c r="AC42" s="77"/>
    </row>
    <row r="43" spans="1:29" s="153" customFormat="1" ht="5.25" customHeight="1">
      <c r="A43" s="579">
        <v>29</v>
      </c>
      <c r="B43" s="581" t="str">
        <f>IF(Регистрация!$D$6&lt;A43," ",CONCATENATE(VLOOKUP(A43,Регистрация!$B$7:$N$71,3,FALSE)," ",VLOOKUP(A43,Регистрация!$B$7:$N$71,4,FALSE)," ","(",VLOOKUP(A43,Регистрация!$B$7:$N$71,11,FALSE),")"))</f>
        <v xml:space="preserve"> </v>
      </c>
      <c r="C43" s="582"/>
      <c r="D43" s="149"/>
      <c r="E43" s="389"/>
      <c r="F43" s="164"/>
      <c r="G43" s="390"/>
      <c r="H43" s="151"/>
      <c r="I43" s="395"/>
      <c r="J43" s="149"/>
      <c r="K43" s="162"/>
      <c r="N43" s="157"/>
      <c r="R43" s="397"/>
      <c r="T43" s="400"/>
      <c r="U43" s="191"/>
      <c r="V43" s="611" t="str">
        <f>IF(Регистрация!$D$6&lt;W43," ",CONCATENATE(VLOOKUP(W43,Регистрация!$B$7:$N$71,3,FALSE)," ",VLOOKUP(W43,Регистрация!$B$7:$N$71,4,FALSE)," ","(",VLOOKUP(W43,Регистрация!$B$7:$N$71,11,FALSE),")"))</f>
        <v xml:space="preserve"> </v>
      </c>
      <c r="W43" s="613">
        <v>30</v>
      </c>
      <c r="X43" s="77"/>
      <c r="Y43" s="77"/>
      <c r="Z43" s="77"/>
      <c r="AA43" s="77"/>
      <c r="AB43" s="77"/>
      <c r="AC43" s="77"/>
    </row>
    <row r="44" spans="1:29" s="153" customFormat="1" ht="5.25" customHeight="1">
      <c r="A44" s="580"/>
      <c r="B44" s="583"/>
      <c r="C44" s="584"/>
      <c r="D44" s="597">
        <f>IF(A45&gt;$D$7,A43,)</f>
        <v>29</v>
      </c>
      <c r="E44" s="605" t="str">
        <f>IF(D44=0," ",CONCATENATE(VLOOKUP(D44,Регистрация!$B$7:$N$71,3,FALSE)," ",LEFT(VLOOKUP(D44,Регистрация!$B$7:$N$71,4,FALSE),1),"."))</f>
        <v xml:space="preserve"> .</v>
      </c>
      <c r="F44" s="151"/>
      <c r="G44" s="390"/>
      <c r="H44" s="151"/>
      <c r="I44" s="395"/>
      <c r="J44" s="617" t="s">
        <v>35</v>
      </c>
      <c r="K44" s="618"/>
      <c r="L44" s="189"/>
      <c r="M44" s="189"/>
      <c r="N44" s="646" t="s">
        <v>36</v>
      </c>
      <c r="O44" s="617"/>
      <c r="R44" s="397"/>
      <c r="T44" s="587" t="str">
        <f>IF(U44=0," ",CONCATENATE(VLOOKUP(U44,Регистрация!$B$7:$N$71,3,FALSE)," ",LEFT(VLOOKUP(U44,Регистрация!$B$7:$N$71,4,FALSE),1),"."))</f>
        <v xml:space="preserve"> .</v>
      </c>
      <c r="U44" s="624">
        <f>IF(W45&gt;$D$7,W43,)</f>
        <v>30</v>
      </c>
      <c r="V44" s="612"/>
      <c r="W44" s="614"/>
      <c r="X44" s="77"/>
      <c r="Y44" s="77"/>
      <c r="Z44" s="77"/>
      <c r="AA44" s="77"/>
      <c r="AB44" s="77"/>
      <c r="AC44" s="77"/>
    </row>
    <row r="45" spans="1:29" s="153" customFormat="1" ht="5.25" customHeight="1">
      <c r="A45" s="599">
        <v>61</v>
      </c>
      <c r="B45" s="592" t="str">
        <f>IF(Регистрация!$D$6&lt;A45," ",CONCATENATE(VLOOKUP(A45,Регистрация!$B$7:$N$71,3,FALSE)," ",VLOOKUP(A45,Регистрация!$B$7:$N$71,4,FALSE)," ","(",VLOOKUP(A45,Регистрация!$B$7:$N$71,11,FALSE),")"))</f>
        <v xml:space="preserve"> </v>
      </c>
      <c r="C45" s="593"/>
      <c r="D45" s="598"/>
      <c r="E45" s="606"/>
      <c r="F45" s="151"/>
      <c r="G45" s="390"/>
      <c r="H45" s="151"/>
      <c r="I45" s="395"/>
      <c r="J45" s="619"/>
      <c r="K45" s="620"/>
      <c r="L45" s="189"/>
      <c r="M45" s="189"/>
      <c r="N45" s="647"/>
      <c r="O45" s="619"/>
      <c r="R45" s="397"/>
      <c r="T45" s="588"/>
      <c r="U45" s="625"/>
      <c r="V45" s="615" t="str">
        <f>IF(Регистрация!$D$6&lt;W45," ",CONCATENATE(VLOOKUP(W45,Регистрация!$B$7:$N$71,3,FALSE)," ",VLOOKUP(W45,Регистрация!$B$7:$N$71,4,FALSE)," ","(",VLOOKUP(W45,Регистрация!$B$7:$N$71,11,FALSE),")"))</f>
        <v xml:space="preserve"> </v>
      </c>
      <c r="W45" s="609">
        <v>62</v>
      </c>
      <c r="X45" s="77"/>
      <c r="Y45" s="77"/>
      <c r="Z45" s="77"/>
      <c r="AA45" s="77"/>
      <c r="AB45" s="77"/>
      <c r="AC45" s="77"/>
    </row>
    <row r="46" spans="1:29" s="153" customFormat="1" ht="5.25" customHeight="1">
      <c r="A46" s="600"/>
      <c r="B46" s="594"/>
      <c r="C46" s="595"/>
      <c r="D46" s="149"/>
      <c r="E46" s="389"/>
      <c r="F46" s="151"/>
      <c r="G46" s="390"/>
      <c r="H46" s="151"/>
      <c r="I46" s="395"/>
      <c r="J46" s="607"/>
      <c r="K46" s="605" t="str">
        <f>IF(J46=0," ",CONCATENATE(VLOOKUP(J46,Регистрация!$B$7:$N$71,3,FALSE)," ",LEFT(VLOOKUP(J46,Регистрация!$B$7:$N$71,4,FALSE),1),"."))</f>
        <v xml:space="preserve"> </v>
      </c>
      <c r="N46" s="587" t="str">
        <f>IF(O46=0," ",CONCATENATE(VLOOKUP(O46,Регистрация!$B$7:$N$71,3,FALSE)," ",LEFT(VLOOKUP(O46,Регистрация!$B$7:$N$71,4,FALSE),1),"."))</f>
        <v xml:space="preserve"> </v>
      </c>
      <c r="O46" s="626"/>
      <c r="P46" s="157"/>
      <c r="R46" s="397"/>
      <c r="T46" s="397"/>
      <c r="U46" s="191"/>
      <c r="V46" s="616"/>
      <c r="W46" s="610"/>
      <c r="X46" s="77"/>
      <c r="Y46" s="77"/>
      <c r="Z46" s="77"/>
      <c r="AA46" s="77"/>
      <c r="AB46" s="77"/>
      <c r="AC46" s="77"/>
    </row>
    <row r="47" spans="1:29" s="153" customFormat="1" ht="5.25" customHeight="1">
      <c r="A47" s="155"/>
      <c r="B47" s="156"/>
      <c r="C47" s="156"/>
      <c r="D47" s="149"/>
      <c r="E47" s="389"/>
      <c r="F47" s="151"/>
      <c r="G47" s="390"/>
      <c r="H47" s="151"/>
      <c r="I47" s="395"/>
      <c r="J47" s="608"/>
      <c r="K47" s="606"/>
      <c r="N47" s="588"/>
      <c r="O47" s="627"/>
      <c r="P47" s="157"/>
      <c r="R47" s="397"/>
      <c r="T47" s="397"/>
      <c r="U47" s="191"/>
      <c r="V47" s="158"/>
      <c r="W47" s="155"/>
      <c r="X47" s="77"/>
      <c r="Y47" s="77"/>
      <c r="Z47" s="77"/>
      <c r="AA47" s="77"/>
      <c r="AB47" s="77"/>
      <c r="AC47" s="77"/>
    </row>
    <row r="48" spans="1:29" s="153" customFormat="1" ht="5.25" customHeight="1">
      <c r="A48" s="579">
        <v>3</v>
      </c>
      <c r="B48" s="581" t="str">
        <f>IF(Регистрация!$D$6&lt;A48," ",CONCATENATE(VLOOKUP(A48,Регистрация!$B$7:$N$71,3,FALSE)," ",VLOOKUP(A48,Регистрация!$B$7:$N$71,4,FALSE)," ","(",VLOOKUP(A48,Регистрация!$B$7:$N$71,11,FALSE),")"))</f>
        <v>Паранина Полина (Политех)</v>
      </c>
      <c r="C48" s="582"/>
      <c r="D48" s="149"/>
      <c r="E48" s="389"/>
      <c r="F48" s="151"/>
      <c r="G48" s="390"/>
      <c r="H48" s="151"/>
      <c r="I48" s="395"/>
      <c r="J48" s="149"/>
      <c r="K48" s="162"/>
      <c r="N48" s="157"/>
      <c r="R48" s="397"/>
      <c r="T48" s="397"/>
      <c r="U48" s="191"/>
      <c r="V48" s="611" t="str">
        <f>IF(Регистрация!$D$6&lt;W48," ",CONCATENATE(VLOOKUP(W48,Регистрация!$B$7:$N$71,3,FALSE)," ",VLOOKUP(W48,Регистрация!$B$7:$N$71,4,FALSE)," ","(",VLOOKUP(W48,Регистрация!$B$7:$N$71,11,FALSE),")"))</f>
        <v>Шайдулина Алина (Политех)</v>
      </c>
      <c r="W48" s="613">
        <v>4</v>
      </c>
      <c r="X48" s="77"/>
      <c r="Y48" s="77"/>
      <c r="Z48" s="77"/>
      <c r="AA48" s="77"/>
      <c r="AB48" s="77"/>
      <c r="AC48" s="77"/>
    </row>
    <row r="49" spans="1:29" s="153" customFormat="1" ht="5.25" customHeight="1">
      <c r="A49" s="580"/>
      <c r="B49" s="583"/>
      <c r="C49" s="584"/>
      <c r="D49" s="597">
        <f>IF(A50&gt;$D$7,A48,)</f>
        <v>3</v>
      </c>
      <c r="E49" s="605" t="str">
        <f>IF(D49=0," ",CONCATENATE(VLOOKUP(D49,Регистрация!$B$7:$N$71,3,FALSE)," ",LEFT(VLOOKUP(D49,Регистрация!$B$7:$N$71,4,FALSE),1),"."))</f>
        <v>Паранина П.</v>
      </c>
      <c r="F49" s="151"/>
      <c r="G49" s="390"/>
      <c r="H49" s="151"/>
      <c r="I49" s="395"/>
      <c r="J49" s="149"/>
      <c r="K49" s="162"/>
      <c r="N49" s="157"/>
      <c r="R49" s="397"/>
      <c r="T49" s="587" t="str">
        <f>IF(U49=0," ",CONCATENATE(VLOOKUP(U49,Регистрация!$B$7:$N$71,3,FALSE)," ",LEFT(VLOOKUP(U49,Регистрация!$B$7:$N$71,4,FALSE),1),"."))</f>
        <v>Шайдулина А.</v>
      </c>
      <c r="U49" s="624">
        <f>IF(W50&gt;$D$7,W48,)</f>
        <v>4</v>
      </c>
      <c r="V49" s="612"/>
      <c r="W49" s="614"/>
      <c r="X49" s="77"/>
      <c r="Y49" s="77"/>
      <c r="Z49" s="77"/>
      <c r="AA49" s="77"/>
      <c r="AB49" s="77"/>
      <c r="AC49" s="77"/>
    </row>
    <row r="50" spans="1:29" s="153" customFormat="1" ht="5.25" customHeight="1">
      <c r="A50" s="599">
        <v>35</v>
      </c>
      <c r="B50" s="592" t="str">
        <f>IF(Регистрация!$D$6&lt;A50," ",CONCATENATE(VLOOKUP(A50,Регистрация!$B$7:$N$71,3,FALSE)," ",VLOOKUP(A50,Регистрация!$B$7:$N$71,4,FALSE)," ","(",VLOOKUP(A50,Регистрация!$B$7:$N$71,11,FALSE),")"))</f>
        <v xml:space="preserve"> </v>
      </c>
      <c r="C50" s="593"/>
      <c r="D50" s="598"/>
      <c r="E50" s="606"/>
      <c r="F50" s="151"/>
      <c r="G50" s="390"/>
      <c r="H50" s="151"/>
      <c r="I50" s="395"/>
      <c r="J50" s="149"/>
      <c r="K50" s="162"/>
      <c r="N50" s="157"/>
      <c r="R50" s="397"/>
      <c r="T50" s="588"/>
      <c r="U50" s="625"/>
      <c r="V50" s="615" t="str">
        <f>IF(Регистрация!$D$6&lt;W50," ",CONCATENATE(VLOOKUP(W50,Регистрация!$B$7:$N$71,3,FALSE)," ",VLOOKUP(W50,Регистрация!$B$7:$N$71,4,FALSE)," ","(",VLOOKUP(W50,Регистрация!$B$7:$N$71,11,FALSE),")"))</f>
        <v xml:space="preserve"> </v>
      </c>
      <c r="W50" s="609">
        <v>36</v>
      </c>
      <c r="X50" s="77"/>
      <c r="Y50" s="77"/>
      <c r="Z50" s="77"/>
      <c r="AA50" s="77"/>
      <c r="AB50" s="77"/>
      <c r="AC50" s="77"/>
    </row>
    <row r="51" spans="1:29" s="153" customFormat="1" ht="5.25" customHeight="1">
      <c r="A51" s="600"/>
      <c r="B51" s="594"/>
      <c r="C51" s="595"/>
      <c r="D51" s="149"/>
      <c r="E51" s="389"/>
      <c r="F51" s="607"/>
      <c r="G51" s="605" t="str">
        <f>IF(F51=0," ",CONCATENATE(VLOOKUP(F51,Регистрация!$B$7:$N$71,3,FALSE)," ",LEFT(VLOOKUP(F51,Регистрация!$B$7:$N$71,4,FALSE),1),"."))</f>
        <v xml:space="preserve"> </v>
      </c>
      <c r="H51" s="151"/>
      <c r="I51" s="395"/>
      <c r="J51" s="149"/>
      <c r="K51" s="162"/>
      <c r="N51" s="157"/>
      <c r="R51" s="587" t="str">
        <f>IF(S51=0," ",CONCATENATE(VLOOKUP(S51,Регистрация!$B$7:$N$71,3,FALSE)," ",LEFT(VLOOKUP(S51,Регистрация!$B$7:$N$71,4,FALSE),1),"."))</f>
        <v xml:space="preserve"> </v>
      </c>
      <c r="S51" s="585"/>
      <c r="T51" s="397"/>
      <c r="U51" s="191"/>
      <c r="V51" s="616"/>
      <c r="W51" s="610"/>
      <c r="X51" s="77"/>
      <c r="Y51" s="77"/>
      <c r="Z51" s="77"/>
      <c r="AA51" s="77"/>
      <c r="AB51" s="77"/>
      <c r="AC51" s="77"/>
    </row>
    <row r="52" spans="1:29" s="153" customFormat="1" ht="5.25" customHeight="1">
      <c r="A52" s="155"/>
      <c r="B52" s="156"/>
      <c r="C52" s="156"/>
      <c r="D52" s="149"/>
      <c r="E52" s="389"/>
      <c r="F52" s="608"/>
      <c r="G52" s="606"/>
      <c r="H52" s="151"/>
      <c r="I52" s="395"/>
      <c r="J52" s="149"/>
      <c r="K52" s="162"/>
      <c r="N52" s="157"/>
      <c r="R52" s="588"/>
      <c r="S52" s="586"/>
      <c r="T52" s="397"/>
      <c r="U52" s="191"/>
      <c r="V52" s="158"/>
      <c r="W52" s="155"/>
      <c r="X52" s="77"/>
      <c r="Y52" s="77"/>
      <c r="Z52" s="77"/>
      <c r="AA52" s="77"/>
      <c r="AB52" s="77"/>
      <c r="AC52" s="77"/>
    </row>
    <row r="53" spans="1:29" s="153" customFormat="1" ht="5.25" customHeight="1">
      <c r="A53" s="579">
        <v>19</v>
      </c>
      <c r="B53" s="581" t="str">
        <f>IF(Регистрация!$D$6&lt;A53," ",CONCATENATE(VLOOKUP(A53,Регистрация!$B$7:$N$71,3,FALSE)," ",VLOOKUP(A53,Регистрация!$B$7:$N$71,4,FALSE)," ","(",VLOOKUP(A53,Регистрация!$B$7:$N$71,11,FALSE),")"))</f>
        <v xml:space="preserve"> </v>
      </c>
      <c r="C53" s="582"/>
      <c r="D53" s="149"/>
      <c r="E53" s="389"/>
      <c r="F53" s="164"/>
      <c r="G53" s="390"/>
      <c r="H53" s="159"/>
      <c r="I53" s="395"/>
      <c r="J53" s="149"/>
      <c r="K53" s="162"/>
      <c r="N53" s="157"/>
      <c r="R53" s="398"/>
      <c r="T53" s="400"/>
      <c r="U53" s="191"/>
      <c r="V53" s="611" t="str">
        <f>IF(Регистрация!$D$6&lt;W53," ",CONCATENATE(VLOOKUP(W53,Регистрация!$B$7:$N$71,3,FALSE)," ",VLOOKUP(W53,Регистрация!$B$7:$N$71,4,FALSE)," ","(",VLOOKUP(W53,Регистрация!$B$7:$N$71,11,FALSE),")"))</f>
        <v xml:space="preserve"> </v>
      </c>
      <c r="W53" s="613">
        <v>20</v>
      </c>
      <c r="X53" s="77"/>
      <c r="Y53" s="77"/>
      <c r="Z53" s="77"/>
      <c r="AA53" s="77"/>
      <c r="AB53" s="77"/>
      <c r="AC53" s="77"/>
    </row>
    <row r="54" spans="1:29" s="153" customFormat="1" ht="5.25" customHeight="1">
      <c r="A54" s="580"/>
      <c r="B54" s="583"/>
      <c r="C54" s="584"/>
      <c r="D54" s="597">
        <f>IF(A55&gt;$D$7,A53,)</f>
        <v>19</v>
      </c>
      <c r="E54" s="605" t="str">
        <f>IF(D54=0," ",CONCATENATE(VLOOKUP(D54,Регистрация!$B$7:$N$71,3,FALSE)," ",LEFT(VLOOKUP(D54,Регистрация!$B$7:$N$71,4,FALSE),1),"."))</f>
        <v xml:space="preserve"> .</v>
      </c>
      <c r="F54" s="151"/>
      <c r="G54" s="390"/>
      <c r="H54" s="159"/>
      <c r="I54" s="395"/>
      <c r="J54" s="149"/>
      <c r="K54" s="162"/>
      <c r="N54" s="157"/>
      <c r="R54" s="399"/>
      <c r="T54" s="587" t="str">
        <f>IF(U54=0," ",CONCATENATE(VLOOKUP(U54,Регистрация!$B$7:$N$71,3,FALSE)," ",LEFT(VLOOKUP(U54,Регистрация!$B$7:$N$71,4,FALSE),1),"."))</f>
        <v xml:space="preserve"> .</v>
      </c>
      <c r="U54" s="624">
        <f>IF(W55&gt;$D$7,W53,)</f>
        <v>20</v>
      </c>
      <c r="V54" s="612"/>
      <c r="W54" s="614"/>
      <c r="X54" s="77"/>
      <c r="Y54" s="77"/>
      <c r="Z54" s="77"/>
      <c r="AA54" s="77"/>
      <c r="AB54" s="77"/>
      <c r="AC54" s="77"/>
    </row>
    <row r="55" spans="1:29" s="153" customFormat="1" ht="5.25" customHeight="1">
      <c r="A55" s="599">
        <v>51</v>
      </c>
      <c r="B55" s="592" t="str">
        <f>IF(Регистрация!$D$6&lt;A55," ",CONCATENATE(VLOOKUP(A55,Регистрация!$B$7:$N$71,3,FALSE)," ",VLOOKUP(A55,Регистрация!$B$7:$N$71,4,FALSE)," ","(",VLOOKUP(A55,Регистрация!$B$7:$N$71,11,FALSE),")"))</f>
        <v xml:space="preserve"> </v>
      </c>
      <c r="C55" s="593"/>
      <c r="D55" s="598"/>
      <c r="E55" s="606"/>
      <c r="F55" s="151"/>
      <c r="G55" s="390"/>
      <c r="H55" s="159"/>
      <c r="I55" s="395"/>
      <c r="J55" s="149"/>
      <c r="K55" s="162"/>
      <c r="N55" s="157"/>
      <c r="R55" s="399"/>
      <c r="T55" s="588"/>
      <c r="U55" s="625"/>
      <c r="V55" s="615" t="str">
        <f>IF(Регистрация!$D$6&lt;W55," ",CONCATENATE(VLOOKUP(W55,Регистрация!$B$7:$N$71,3,FALSE)," ",VLOOKUP(W55,Регистрация!$B$7:$N$71,4,FALSE)," ","(",VLOOKUP(W55,Регистрация!$B$7:$N$71,11,FALSE),")"))</f>
        <v xml:space="preserve"> </v>
      </c>
      <c r="W55" s="609">
        <v>52</v>
      </c>
      <c r="X55" s="77"/>
      <c r="Y55" s="77"/>
      <c r="Z55" s="77"/>
      <c r="AA55" s="77"/>
      <c r="AB55" s="77"/>
      <c r="AC55" s="77"/>
    </row>
    <row r="56" spans="1:29" s="153" customFormat="1" ht="5.25" customHeight="1">
      <c r="A56" s="600"/>
      <c r="B56" s="594"/>
      <c r="C56" s="595"/>
      <c r="D56" s="149"/>
      <c r="E56" s="389"/>
      <c r="F56" s="151"/>
      <c r="G56" s="390"/>
      <c r="H56" s="607"/>
      <c r="I56" s="605" t="str">
        <f>IF(H56=0," ",CONCATENATE(VLOOKUP(H56,Регистрация!$B$7:$N$71,3,FALSE)," ",LEFT(VLOOKUP(H56,Регистрация!$B$7:$N$71,4,FALSE),1),"."))</f>
        <v xml:space="preserve"> </v>
      </c>
      <c r="J56" s="149"/>
      <c r="K56" s="162"/>
      <c r="N56" s="157"/>
      <c r="P56" s="587" t="str">
        <f>IF(Q56=0," ",CONCATENATE(VLOOKUP(Q56,Регистрация!$B$7:$N$71,3,FALSE)," ",LEFT(VLOOKUP(Q56,Регистрация!$B$7:$N$71,4,FALSE),1),"."))</f>
        <v xml:space="preserve"> </v>
      </c>
      <c r="Q56" s="626"/>
      <c r="R56" s="399"/>
      <c r="T56" s="397"/>
      <c r="U56" s="191"/>
      <c r="V56" s="616"/>
      <c r="W56" s="610"/>
      <c r="X56" s="77"/>
      <c r="Y56" s="77"/>
      <c r="Z56" s="77"/>
      <c r="AA56" s="77"/>
      <c r="AB56" s="77"/>
      <c r="AC56" s="77"/>
    </row>
    <row r="57" spans="1:29" s="153" customFormat="1" ht="5.25" customHeight="1">
      <c r="A57" s="155"/>
      <c r="B57" s="156"/>
      <c r="C57" s="156"/>
      <c r="D57" s="149"/>
      <c r="E57" s="389"/>
      <c r="F57" s="151"/>
      <c r="G57" s="390"/>
      <c r="H57" s="608"/>
      <c r="I57" s="606"/>
      <c r="J57" s="149"/>
      <c r="K57" s="162"/>
      <c r="N57" s="157"/>
      <c r="P57" s="588"/>
      <c r="Q57" s="627"/>
      <c r="R57" s="399"/>
      <c r="T57" s="397"/>
      <c r="U57" s="191"/>
      <c r="V57" s="158"/>
      <c r="W57" s="155"/>
      <c r="X57" s="77"/>
      <c r="Y57" s="77"/>
      <c r="Z57" s="77"/>
      <c r="AA57" s="77"/>
      <c r="AB57" s="77"/>
      <c r="AC57" s="77"/>
    </row>
    <row r="58" spans="1:29" s="153" customFormat="1" ht="5.25" customHeight="1">
      <c r="A58" s="579">
        <v>11</v>
      </c>
      <c r="B58" s="581" t="str">
        <f>IF(Регистрация!$D$6&lt;A58," ",CONCATENATE(VLOOKUP(A58,Регистрация!$B$7:$N$71,3,FALSE)," ",VLOOKUP(A58,Регистрация!$B$7:$N$71,4,FALSE)," ","(",VLOOKUP(A58,Регистрация!$B$7:$N$71,11,FALSE),")"))</f>
        <v xml:space="preserve"> </v>
      </c>
      <c r="C58" s="582"/>
      <c r="D58" s="149"/>
      <c r="E58" s="389"/>
      <c r="F58" s="151"/>
      <c r="G58" s="390"/>
      <c r="H58" s="159"/>
      <c r="I58" s="392"/>
      <c r="J58" s="149"/>
      <c r="K58" s="162"/>
      <c r="N58" s="157"/>
      <c r="P58" s="154"/>
      <c r="R58" s="399"/>
      <c r="T58" s="397"/>
      <c r="U58" s="191"/>
      <c r="V58" s="611" t="str">
        <f>IF(Регистрация!$D$6&lt;W58," ",CONCATENATE(VLOOKUP(W58,Регистрация!$B$7:$N$71,3,FALSE)," ",VLOOKUP(W58,Регистрация!$B$7:$N$71,4,FALSE)," ","(",VLOOKUP(W58,Регистрация!$B$7:$N$71,11,FALSE),")"))</f>
        <v xml:space="preserve"> </v>
      </c>
      <c r="W58" s="613">
        <v>12</v>
      </c>
      <c r="X58" s="77"/>
      <c r="Y58" s="77"/>
      <c r="Z58" s="77"/>
      <c r="AA58" s="77"/>
      <c r="AB58" s="77"/>
      <c r="AC58" s="77"/>
    </row>
    <row r="59" spans="1:29" s="153" customFormat="1" ht="5.25" customHeight="1">
      <c r="A59" s="580"/>
      <c r="B59" s="583"/>
      <c r="C59" s="584"/>
      <c r="D59" s="597">
        <f>IF(A60&gt;$D$7,A58,)</f>
        <v>11</v>
      </c>
      <c r="E59" s="605" t="str">
        <f>IF(D59=0," ",CONCATENATE(VLOOKUP(D59,Регистрация!$B$7:$N$71,3,FALSE)," ",LEFT(VLOOKUP(D59,Регистрация!$B$7:$N$71,4,FALSE),1),"."))</f>
        <v xml:space="preserve"> .</v>
      </c>
      <c r="F59" s="151"/>
      <c r="G59" s="390"/>
      <c r="H59" s="159"/>
      <c r="I59" s="393"/>
      <c r="J59" s="149"/>
      <c r="K59" s="162"/>
      <c r="N59" s="157"/>
      <c r="P59" s="157"/>
      <c r="R59" s="399"/>
      <c r="T59" s="587" t="str">
        <f>IF(U59=0," ",CONCATENATE(VLOOKUP(U59,Регистрация!$B$7:$N$71,3,FALSE)," ",LEFT(VLOOKUP(U59,Регистрация!$B$7:$N$71,4,FALSE),1),"."))</f>
        <v xml:space="preserve"> .</v>
      </c>
      <c r="U59" s="624">
        <f>IF(W60&gt;$D$7,W58,)</f>
        <v>12</v>
      </c>
      <c r="V59" s="612"/>
      <c r="W59" s="614"/>
      <c r="X59" s="77"/>
      <c r="Y59" s="77"/>
      <c r="Z59" s="77"/>
      <c r="AA59" s="77"/>
      <c r="AB59" s="77"/>
      <c r="AC59" s="77"/>
    </row>
    <row r="60" spans="1:29" s="153" customFormat="1" ht="5.25" customHeight="1">
      <c r="A60" s="599">
        <v>43</v>
      </c>
      <c r="B60" s="592" t="str">
        <f>IF(Регистрация!$D$6&lt;A60," ",CONCATENATE(VLOOKUP(A60,Регистрация!$B$7:$N$71,3,FALSE)," ",VLOOKUP(A60,Регистрация!$B$7:$N$71,4,FALSE)," ","(",VLOOKUP(A60,Регистрация!$B$7:$N$71,11,FALSE),")"))</f>
        <v xml:space="preserve"> </v>
      </c>
      <c r="C60" s="593"/>
      <c r="D60" s="598"/>
      <c r="E60" s="606"/>
      <c r="F60" s="151"/>
      <c r="G60" s="390"/>
      <c r="H60" s="159"/>
      <c r="I60" s="393"/>
      <c r="J60" s="149"/>
      <c r="K60" s="162"/>
      <c r="N60" s="157"/>
      <c r="P60" s="157"/>
      <c r="R60" s="400"/>
      <c r="T60" s="588"/>
      <c r="U60" s="625"/>
      <c r="V60" s="615" t="str">
        <f>IF(Регистрация!$D$6&lt;W60," ",CONCATENATE(VLOOKUP(W60,Регистрация!$B$7:$N$71,3,FALSE)," ",VLOOKUP(W60,Регистрация!$B$7:$N$71,4,FALSE)," ","(",VLOOKUP(W60,Регистрация!$B$7:$N$71,11,FALSE),")"))</f>
        <v xml:space="preserve"> </v>
      </c>
      <c r="W60" s="609">
        <v>44</v>
      </c>
      <c r="X60" s="77"/>
      <c r="Y60" s="77"/>
      <c r="Z60" s="77"/>
      <c r="AA60" s="77"/>
      <c r="AB60" s="77"/>
      <c r="AC60" s="77"/>
    </row>
    <row r="61" spans="1:29" s="153" customFormat="1" ht="5.25" customHeight="1">
      <c r="A61" s="600"/>
      <c r="B61" s="594"/>
      <c r="C61" s="595"/>
      <c r="D61" s="149"/>
      <c r="E61" s="389"/>
      <c r="F61" s="607"/>
      <c r="G61" s="605" t="str">
        <f>IF(F61=0," ",CONCATENATE(VLOOKUP(F61,Регистрация!$B$7:$N$71,3,FALSE)," ",LEFT(VLOOKUP(F61,Регистрация!$B$7:$N$71,4,FALSE),1),"."))</f>
        <v xml:space="preserve"> </v>
      </c>
      <c r="H61" s="151"/>
      <c r="I61" s="393"/>
      <c r="J61" s="149"/>
      <c r="K61" s="162"/>
      <c r="N61" s="157"/>
      <c r="P61" s="157"/>
      <c r="R61" s="587" t="str">
        <f>IF(S61=0," ",CONCATENATE(VLOOKUP(S61,Регистрация!$B$7:$N$71,3,FALSE)," ",LEFT(VLOOKUP(S61,Регистрация!$B$7:$N$71,4,FALSE),1),"."))</f>
        <v xml:space="preserve"> </v>
      </c>
      <c r="S61" s="585"/>
      <c r="T61" s="397"/>
      <c r="U61" s="191"/>
      <c r="V61" s="616"/>
      <c r="W61" s="610"/>
      <c r="X61" s="77"/>
      <c r="Y61" s="77"/>
      <c r="Z61" s="77"/>
      <c r="AA61" s="77"/>
      <c r="AB61" s="77"/>
      <c r="AC61" s="77"/>
    </row>
    <row r="62" spans="1:29" s="153" customFormat="1" ht="5.25" customHeight="1">
      <c r="A62" s="155"/>
      <c r="B62" s="156"/>
      <c r="C62" s="156"/>
      <c r="D62" s="149"/>
      <c r="E62" s="389"/>
      <c r="F62" s="608"/>
      <c r="G62" s="606"/>
      <c r="H62" s="151"/>
      <c r="I62" s="393"/>
      <c r="J62" s="149"/>
      <c r="K62" s="162"/>
      <c r="N62" s="157"/>
      <c r="P62" s="157"/>
      <c r="R62" s="588"/>
      <c r="S62" s="586"/>
      <c r="T62" s="397"/>
      <c r="U62" s="191"/>
      <c r="V62" s="158"/>
      <c r="W62" s="155"/>
      <c r="X62" s="77"/>
      <c r="Y62" s="77"/>
      <c r="Z62" s="77"/>
      <c r="AA62" s="77"/>
      <c r="AB62" s="77"/>
      <c r="AC62" s="77"/>
    </row>
    <row r="63" spans="1:29" s="153" customFormat="1" ht="5.25" customHeight="1">
      <c r="A63" s="579">
        <v>27</v>
      </c>
      <c r="B63" s="581" t="str">
        <f>IF(Регистрация!$D$6&lt;A63," ",CONCATENATE(VLOOKUP(A63,Регистрация!$B$7:$N$71,3,FALSE)," ",VLOOKUP(A63,Регистрация!$B$7:$N$71,4,FALSE)," ","(",VLOOKUP(A63,Регистрация!$B$7:$N$71,11,FALSE),")"))</f>
        <v xml:space="preserve"> </v>
      </c>
      <c r="C63" s="582"/>
      <c r="D63" s="149"/>
      <c r="E63" s="389"/>
      <c r="F63" s="164"/>
      <c r="G63" s="390"/>
      <c r="H63" s="151"/>
      <c r="I63" s="393"/>
      <c r="J63" s="149"/>
      <c r="K63" s="162"/>
      <c r="N63" s="157"/>
      <c r="P63" s="157"/>
      <c r="R63" s="397"/>
      <c r="T63" s="400"/>
      <c r="U63" s="191"/>
      <c r="V63" s="611" t="str">
        <f>IF(Регистрация!$D$6&lt;W63," ",CONCATENATE(VLOOKUP(W63,Регистрация!$B$7:$N$71,3,FALSE)," ",VLOOKUP(W63,Регистрация!$B$7:$N$71,4,FALSE)," ","(",VLOOKUP(W63,Регистрация!$B$7:$N$71,11,FALSE),")"))</f>
        <v xml:space="preserve"> </v>
      </c>
      <c r="W63" s="613">
        <v>28</v>
      </c>
      <c r="X63" s="77"/>
      <c r="Y63" s="77"/>
      <c r="Z63" s="77"/>
      <c r="AA63" s="77"/>
      <c r="AB63" s="77"/>
      <c r="AC63" s="77"/>
    </row>
    <row r="64" spans="1:29" s="153" customFormat="1" ht="5.25" customHeight="1">
      <c r="A64" s="580"/>
      <c r="B64" s="583"/>
      <c r="C64" s="584"/>
      <c r="D64" s="597">
        <f>IF(A65&gt;$D$7,A63,)</f>
        <v>27</v>
      </c>
      <c r="E64" s="605" t="str">
        <f>IF(D64=0," ",CONCATENATE(VLOOKUP(D64,Регистрация!$B$7:$N$71,3,FALSE)," ",LEFT(VLOOKUP(D64,Регистрация!$B$7:$N$71,4,FALSE),1),"."))</f>
        <v xml:space="preserve"> .</v>
      </c>
      <c r="F64" s="151"/>
      <c r="G64" s="390"/>
      <c r="H64" s="151"/>
      <c r="I64" s="393"/>
      <c r="J64" s="149"/>
      <c r="K64" s="162"/>
      <c r="N64" s="157"/>
      <c r="P64" s="157"/>
      <c r="R64" s="397"/>
      <c r="T64" s="587" t="str">
        <f>IF(U64=0," ",CONCATENATE(VLOOKUP(U64,Регистрация!$B$7:$N$71,3,FALSE)," ",LEFT(VLOOKUP(U64,Регистрация!$B$7:$N$71,4,FALSE),1),"."))</f>
        <v xml:space="preserve"> .</v>
      </c>
      <c r="U64" s="624">
        <f>IF(W65&gt;$D$7,W63,)</f>
        <v>28</v>
      </c>
      <c r="V64" s="612"/>
      <c r="W64" s="614"/>
      <c r="X64" s="77"/>
      <c r="Y64" s="77"/>
      <c r="Z64" s="77"/>
      <c r="AA64" s="77"/>
      <c r="AB64" s="77"/>
      <c r="AC64" s="77"/>
    </row>
    <row r="65" spans="1:29" s="153" customFormat="1" ht="5.25" customHeight="1">
      <c r="A65" s="599">
        <v>59</v>
      </c>
      <c r="B65" s="592" t="str">
        <f>IF(Регистрация!$D$6&lt;A65," ",CONCATENATE(VLOOKUP(A65,Регистрация!$B$7:$N$71,3,FALSE)," ",VLOOKUP(A65,Регистрация!$B$7:$N$71,4,FALSE)," ","(",VLOOKUP(A65,Регистрация!$B$7:$N$71,11,FALSE),")"))</f>
        <v xml:space="preserve"> </v>
      </c>
      <c r="C65" s="593"/>
      <c r="D65" s="598"/>
      <c r="E65" s="606"/>
      <c r="F65" s="151"/>
      <c r="G65" s="390"/>
      <c r="H65" s="151"/>
      <c r="I65" s="393"/>
      <c r="J65" s="149"/>
      <c r="K65" s="163"/>
      <c r="N65" s="160"/>
      <c r="P65" s="157"/>
      <c r="R65" s="397"/>
      <c r="T65" s="588"/>
      <c r="U65" s="625"/>
      <c r="V65" s="615" t="str">
        <f>IF(Регистрация!$D$6&lt;W65," ",CONCATENATE(VLOOKUP(W65,Регистрация!$B$7:$N$71,3,FALSE)," ",VLOOKUP(W65,Регистрация!$B$7:$N$71,4,FALSE)," ","(",VLOOKUP(W65,Регистрация!$B$7:$N$71,11,FALSE),")"))</f>
        <v xml:space="preserve"> </v>
      </c>
      <c r="W65" s="609">
        <v>60</v>
      </c>
      <c r="X65" s="77"/>
      <c r="Y65" s="77"/>
      <c r="Z65" s="77"/>
      <c r="AA65" s="77"/>
      <c r="AB65" s="77"/>
      <c r="AC65" s="77"/>
    </row>
    <row r="66" spans="1:29" s="153" customFormat="1" ht="5.25" customHeight="1">
      <c r="A66" s="600"/>
      <c r="B66" s="594"/>
      <c r="C66" s="595"/>
      <c r="D66" s="149"/>
      <c r="E66" s="389"/>
      <c r="F66" s="151"/>
      <c r="G66" s="390"/>
      <c r="H66" s="151"/>
      <c r="I66" s="393"/>
      <c r="J66" s="640"/>
      <c r="K66" s="605" t="str">
        <f>IF(J66=0," ",CONCATENATE(VLOOKUP(J66,Регистрация!$B$7:$N$71,3,FALSE)," ",LEFT(VLOOKUP(J66,Регистрация!$B$7:$N$71,4,FALSE),1),"."))</f>
        <v xml:space="preserve"> </v>
      </c>
      <c r="N66" s="587" t="str">
        <f>IF(O66=0," ",CONCATENATE(VLOOKUP(O66,Регистрация!$B$7:$N$71,3,FALSE)," ",LEFT(VLOOKUP(O66,Регистрация!$B$7:$N$71,4,FALSE),1),"."))</f>
        <v xml:space="preserve"> </v>
      </c>
      <c r="O66" s="626"/>
      <c r="P66" s="157"/>
      <c r="R66" s="397"/>
      <c r="T66" s="397"/>
      <c r="U66" s="191"/>
      <c r="V66" s="616"/>
      <c r="W66" s="610"/>
      <c r="X66" s="77"/>
      <c r="Y66" s="77"/>
      <c r="Z66" s="77"/>
      <c r="AA66" s="77"/>
      <c r="AB66" s="77"/>
      <c r="AC66" s="77"/>
    </row>
    <row r="67" spans="1:29" s="153" customFormat="1" ht="5.25" customHeight="1">
      <c r="A67" s="155"/>
      <c r="B67" s="156"/>
      <c r="C67" s="156"/>
      <c r="D67" s="149"/>
      <c r="E67" s="389"/>
      <c r="F67" s="151"/>
      <c r="G67" s="390"/>
      <c r="H67" s="151"/>
      <c r="I67" s="393"/>
      <c r="J67" s="642"/>
      <c r="K67" s="606"/>
      <c r="N67" s="588"/>
      <c r="O67" s="627"/>
      <c r="P67" s="157"/>
      <c r="R67" s="397"/>
      <c r="T67" s="397"/>
      <c r="U67" s="191"/>
      <c r="V67" s="158"/>
      <c r="W67" s="155"/>
      <c r="X67" s="77"/>
      <c r="Y67" s="77"/>
      <c r="Z67" s="77"/>
      <c r="AA67" s="77"/>
      <c r="AB67" s="77"/>
      <c r="AC67" s="77"/>
    </row>
    <row r="68" spans="1:29" s="153" customFormat="1" ht="5.25" customHeight="1">
      <c r="A68" s="579">
        <v>7</v>
      </c>
      <c r="B68" s="581" t="str">
        <f>IF(Регистрация!$D$6&lt;A68," ",CONCATENATE(VLOOKUP(A68,Регистрация!$B$7:$N$71,3,FALSE)," ",VLOOKUP(A68,Регистрация!$B$7:$N$71,4,FALSE)," ","(",VLOOKUP(A68,Регистрация!$B$7:$N$71,11,FALSE),")"))</f>
        <v xml:space="preserve"> </v>
      </c>
      <c r="C68" s="582"/>
      <c r="D68" s="149"/>
      <c r="E68" s="389"/>
      <c r="F68" s="151"/>
      <c r="G68" s="390"/>
      <c r="H68" s="151"/>
      <c r="I68" s="393"/>
      <c r="J68" s="149"/>
      <c r="K68" s="152"/>
      <c r="P68" s="157"/>
      <c r="R68" s="397"/>
      <c r="T68" s="397"/>
      <c r="U68" s="191"/>
      <c r="V68" s="611" t="str">
        <f>IF(Регистрация!$D$6&lt;W68," ",CONCATENATE(VLOOKUP(W68,Регистрация!$B$7:$N$71,3,FALSE)," ",VLOOKUP(W68,Регистрация!$B$7:$N$71,4,FALSE)," ","(",VLOOKUP(W68,Регистрация!$B$7:$N$71,11,FALSE),")"))</f>
        <v xml:space="preserve"> </v>
      </c>
      <c r="W68" s="613">
        <v>8</v>
      </c>
      <c r="X68" s="77"/>
      <c r="Y68" s="77"/>
      <c r="Z68" s="77"/>
      <c r="AA68" s="77"/>
      <c r="AB68" s="77"/>
      <c r="AC68" s="77"/>
    </row>
    <row r="69" spans="1:29" s="153" customFormat="1" ht="5.25" customHeight="1">
      <c r="A69" s="580"/>
      <c r="B69" s="583"/>
      <c r="C69" s="584"/>
      <c r="D69" s="597">
        <f>IF(A70&gt;$D$7,A68,)</f>
        <v>7</v>
      </c>
      <c r="E69" s="605" t="str">
        <f>IF(D69=0," ",CONCATENATE(VLOOKUP(D69,Регистрация!$B$7:$N$71,3,FALSE)," ",LEFT(VLOOKUP(D69,Регистрация!$B$7:$N$71,4,FALSE),1),"."))</f>
        <v xml:space="preserve"> .</v>
      </c>
      <c r="F69" s="151"/>
      <c r="G69" s="390"/>
      <c r="H69" s="151"/>
      <c r="I69" s="393"/>
      <c r="J69" s="149"/>
      <c r="K69" s="152"/>
      <c r="P69" s="157"/>
      <c r="R69" s="397"/>
      <c r="T69" s="587" t="str">
        <f>IF(U69=0," ",CONCATENATE(VLOOKUP(U69,Регистрация!$B$7:$N$71,3,FALSE)," ",LEFT(VLOOKUP(U69,Регистрация!$B$7:$N$71,4,FALSE),1),"."))</f>
        <v xml:space="preserve"> .</v>
      </c>
      <c r="U69" s="624">
        <f>IF(W70&gt;$D$7,W68,)</f>
        <v>8</v>
      </c>
      <c r="V69" s="612"/>
      <c r="W69" s="614"/>
      <c r="X69" s="77"/>
      <c r="Y69" s="77"/>
      <c r="Z69" s="77"/>
      <c r="AA69" s="77"/>
      <c r="AB69" s="77"/>
      <c r="AC69" s="77"/>
    </row>
    <row r="70" spans="1:29" s="153" customFormat="1" ht="5.25" customHeight="1">
      <c r="A70" s="599">
        <v>39</v>
      </c>
      <c r="B70" s="592" t="str">
        <f>IF(Регистрация!$D$6&lt;A70," ",CONCATENATE(VLOOKUP(A70,Регистрация!$B$7:$N$71,3,FALSE)," ",VLOOKUP(A70,Регистрация!$B$7:$N$71,4,FALSE)," ","(",VLOOKUP(A70,Регистрация!$B$7:$N$71,11,FALSE),")"))</f>
        <v xml:space="preserve"> </v>
      </c>
      <c r="C70" s="593"/>
      <c r="D70" s="598"/>
      <c r="E70" s="606"/>
      <c r="F70" s="151"/>
      <c r="G70" s="390"/>
      <c r="H70" s="151"/>
      <c r="I70" s="393"/>
      <c r="J70" s="149"/>
      <c r="K70" s="152"/>
      <c r="P70" s="157"/>
      <c r="R70" s="397"/>
      <c r="T70" s="588"/>
      <c r="U70" s="625"/>
      <c r="V70" s="615" t="str">
        <f>IF(Регистрация!$D$6&lt;W70," ",CONCATENATE(VLOOKUP(W70,Регистрация!$B$7:$N$71,3,FALSE)," ",VLOOKUP(W70,Регистрация!$B$7:$N$71,4,FALSE)," ","(",VLOOKUP(W70,Регистрация!$B$7:$N$71,11,FALSE),")"))</f>
        <v xml:space="preserve"> </v>
      </c>
      <c r="W70" s="609">
        <v>40</v>
      </c>
      <c r="X70" s="77"/>
      <c r="Y70" s="77"/>
      <c r="Z70" s="77"/>
      <c r="AA70" s="77"/>
      <c r="AB70" s="77"/>
      <c r="AC70" s="77"/>
    </row>
    <row r="71" spans="1:29" s="153" customFormat="1" ht="5.25" customHeight="1">
      <c r="A71" s="600"/>
      <c r="B71" s="594"/>
      <c r="C71" s="595"/>
      <c r="D71" s="149"/>
      <c r="E71" s="389"/>
      <c r="F71" s="607"/>
      <c r="G71" s="605" t="str">
        <f>IF(F71=0," ",CONCATENATE(VLOOKUP(F71,Регистрация!$B$7:$N$71,3,FALSE)," ",LEFT(VLOOKUP(F71,Регистрация!$B$7:$N$71,4,FALSE),1),"."))</f>
        <v xml:space="preserve"> </v>
      </c>
      <c r="H71" s="151"/>
      <c r="I71" s="393"/>
      <c r="J71" s="149"/>
      <c r="K71" s="152"/>
      <c r="P71" s="157"/>
      <c r="R71" s="587" t="str">
        <f>IF(S71=0," ",CONCATENATE(VLOOKUP(S71,Регистрация!$B$7:$N$71,3,FALSE)," ",LEFT(VLOOKUP(S71,Регистрация!$B$7:$N$71,4,FALSE),1),"."))</f>
        <v xml:space="preserve"> </v>
      </c>
      <c r="S71" s="585"/>
      <c r="T71" s="397"/>
      <c r="U71" s="191"/>
      <c r="V71" s="616"/>
      <c r="W71" s="610"/>
      <c r="X71" s="77"/>
      <c r="Y71" s="77"/>
      <c r="Z71" s="77"/>
      <c r="AA71" s="77"/>
      <c r="AB71" s="77"/>
      <c r="AC71" s="77"/>
    </row>
    <row r="72" spans="1:29" s="153" customFormat="1" ht="5.25" customHeight="1">
      <c r="A72" s="155"/>
      <c r="B72" s="156"/>
      <c r="C72" s="156"/>
      <c r="D72" s="149"/>
      <c r="E72" s="389"/>
      <c r="F72" s="608"/>
      <c r="G72" s="606"/>
      <c r="H72" s="151"/>
      <c r="I72" s="393"/>
      <c r="J72" s="149"/>
      <c r="K72" s="152"/>
      <c r="P72" s="157"/>
      <c r="R72" s="588"/>
      <c r="S72" s="586"/>
      <c r="T72" s="397"/>
      <c r="U72" s="191"/>
      <c r="V72" s="158"/>
      <c r="W72" s="155"/>
      <c r="X72" s="77"/>
      <c r="Y72" s="77"/>
      <c r="Z72" s="77"/>
      <c r="AA72" s="77"/>
      <c r="AB72" s="77"/>
      <c r="AC72" s="77"/>
    </row>
    <row r="73" spans="1:29" s="153" customFormat="1" ht="5.25" customHeight="1">
      <c r="A73" s="579">
        <v>23</v>
      </c>
      <c r="B73" s="581" t="str">
        <f>IF(Регистрация!$D$6&lt;A73," ",CONCATENATE(VLOOKUP(A73,Регистрация!$B$7:$N$71,3,FALSE)," ",VLOOKUP(A73,Регистрация!$B$7:$N$71,4,FALSE)," ","(",VLOOKUP(A73,Регистрация!$B$7:$N$71,11,FALSE),")"))</f>
        <v xml:space="preserve"> </v>
      </c>
      <c r="C73" s="582"/>
      <c r="D73" s="149"/>
      <c r="E73" s="389"/>
      <c r="F73" s="164"/>
      <c r="G73" s="390"/>
      <c r="H73" s="159"/>
      <c r="I73" s="393"/>
      <c r="J73" s="149"/>
      <c r="K73" s="152"/>
      <c r="P73" s="157"/>
      <c r="R73" s="398"/>
      <c r="T73" s="400"/>
      <c r="U73" s="191"/>
      <c r="V73" s="611" t="str">
        <f>IF(Регистрация!$D$6&lt;W73," ",CONCATENATE(VLOOKUP(W73,Регистрация!$B$7:$N$71,3,FALSE)," ",VLOOKUP(W73,Регистрация!$B$7:$N$71,4,FALSE)," ","(",VLOOKUP(W73,Регистрация!$B$7:$N$71,11,FALSE),")"))</f>
        <v xml:space="preserve"> </v>
      </c>
      <c r="W73" s="613">
        <v>24</v>
      </c>
      <c r="X73" s="77"/>
      <c r="Y73" s="77"/>
      <c r="Z73" s="77"/>
      <c r="AA73" s="77"/>
      <c r="AB73" s="77"/>
      <c r="AC73" s="77"/>
    </row>
    <row r="74" spans="1:29" s="153" customFormat="1" ht="5.25" customHeight="1">
      <c r="A74" s="580"/>
      <c r="B74" s="583"/>
      <c r="C74" s="584"/>
      <c r="D74" s="597">
        <f>IF(A75&gt;$D$7,A73,)</f>
        <v>23</v>
      </c>
      <c r="E74" s="605" t="str">
        <f>IF(D74=0," ",CONCATENATE(VLOOKUP(D74,Регистрация!$B$7:$N$71,3,FALSE)," ",LEFT(VLOOKUP(D74,Регистрация!$B$7:$N$71,4,FALSE),1),"."))</f>
        <v xml:space="preserve"> .</v>
      </c>
      <c r="F74" s="151"/>
      <c r="G74" s="390"/>
      <c r="H74" s="159"/>
      <c r="I74" s="393"/>
      <c r="J74" s="149"/>
      <c r="K74" s="152"/>
      <c r="P74" s="157"/>
      <c r="R74" s="399"/>
      <c r="T74" s="587" t="str">
        <f>IF(U74=0," ",CONCATENATE(VLOOKUP(U74,Регистрация!$B$7:$N$71,3,FALSE)," ",LEFT(VLOOKUP(U74,Регистрация!$B$7:$N$71,4,FALSE),1),"."))</f>
        <v xml:space="preserve"> .</v>
      </c>
      <c r="U74" s="624">
        <f>IF(W75&gt;$D$7,W73,)</f>
        <v>24</v>
      </c>
      <c r="V74" s="612"/>
      <c r="W74" s="614"/>
      <c r="X74" s="77"/>
      <c r="Y74" s="77"/>
      <c r="Z74" s="77"/>
      <c r="AA74" s="77"/>
      <c r="AB74" s="77"/>
      <c r="AC74" s="77"/>
    </row>
    <row r="75" spans="1:29" s="153" customFormat="1" ht="5.25" customHeight="1">
      <c r="A75" s="599">
        <v>55</v>
      </c>
      <c r="B75" s="592" t="str">
        <f>IF(Регистрация!$D$6&lt;A75," ",CONCATENATE(VLOOKUP(A75,Регистрация!$B$7:$N$71,3,FALSE)," ",VLOOKUP(A75,Регистрация!$B$7:$N$71,4,FALSE)," ","(",VLOOKUP(A75,Регистрация!$B$7:$N$71,11,FALSE),")"))</f>
        <v xml:space="preserve"> </v>
      </c>
      <c r="C75" s="593"/>
      <c r="D75" s="598"/>
      <c r="E75" s="606"/>
      <c r="F75" s="151"/>
      <c r="G75" s="390"/>
      <c r="H75" s="159"/>
      <c r="I75" s="394"/>
      <c r="J75" s="149"/>
      <c r="K75" s="152"/>
      <c r="P75" s="160"/>
      <c r="R75" s="399"/>
      <c r="T75" s="588"/>
      <c r="U75" s="625"/>
      <c r="V75" s="615" t="str">
        <f>IF(Регистрация!$D$6&lt;W75," ",CONCATENATE(VLOOKUP(W75,Регистрация!$B$7:$N$71,3,FALSE)," ",VLOOKUP(W75,Регистрация!$B$7:$N$71,4,FALSE)," ","(",VLOOKUP(W75,Регистрация!$B$7:$N$71,11,FALSE),")"))</f>
        <v xml:space="preserve"> </v>
      </c>
      <c r="W75" s="609">
        <v>56</v>
      </c>
      <c r="X75" s="77"/>
      <c r="Y75" s="77"/>
      <c r="Z75" s="77"/>
      <c r="AA75" s="77"/>
      <c r="AB75" s="77"/>
      <c r="AC75" s="77"/>
    </row>
    <row r="76" spans="1:29" s="153" customFormat="1" ht="5.25" customHeight="1">
      <c r="A76" s="600"/>
      <c r="B76" s="594"/>
      <c r="C76" s="595"/>
      <c r="D76" s="149"/>
      <c r="E76" s="389"/>
      <c r="F76" s="151"/>
      <c r="G76" s="390"/>
      <c r="H76" s="607"/>
      <c r="I76" s="605" t="str">
        <f>IF(H76=0," ",CONCATENATE(VLOOKUP(H76,Регистрация!$B$7:$N$71,3,FALSE)," ",LEFT(VLOOKUP(H76,Регистрация!$B$7:$N$71,4,FALSE),1),"."))</f>
        <v xml:space="preserve"> </v>
      </c>
      <c r="J76" s="149"/>
      <c r="K76" s="152"/>
      <c r="P76" s="587" t="str">
        <f>IF(Q76=0," ",CONCATENATE(VLOOKUP(Q76,Регистрация!$B$7:$N$71,3,FALSE)," ",LEFT(VLOOKUP(Q76,Регистрация!$B$7:$N$71,4,FALSE),1),"."))</f>
        <v xml:space="preserve"> </v>
      </c>
      <c r="Q76" s="626"/>
      <c r="R76" s="399"/>
      <c r="T76" s="397"/>
      <c r="U76" s="191"/>
      <c r="V76" s="616"/>
      <c r="W76" s="610"/>
      <c r="X76" s="77"/>
      <c r="Y76" s="77"/>
      <c r="Z76" s="77"/>
      <c r="AA76" s="77"/>
      <c r="AB76" s="77"/>
      <c r="AC76" s="77"/>
    </row>
    <row r="77" spans="1:29" s="153" customFormat="1" ht="5.25" customHeight="1">
      <c r="A77" s="155"/>
      <c r="B77" s="156"/>
      <c r="C77" s="156"/>
      <c r="D77" s="149"/>
      <c r="E77" s="389"/>
      <c r="F77" s="151"/>
      <c r="G77" s="390"/>
      <c r="H77" s="608"/>
      <c r="I77" s="606"/>
      <c r="J77" s="149"/>
      <c r="K77" s="152"/>
      <c r="P77" s="588"/>
      <c r="Q77" s="627"/>
      <c r="R77" s="399"/>
      <c r="T77" s="397"/>
      <c r="U77" s="191"/>
      <c r="V77" s="158"/>
      <c r="W77" s="155"/>
      <c r="X77" s="77"/>
      <c r="Y77" s="77"/>
      <c r="Z77" s="77"/>
      <c r="AA77" s="77"/>
      <c r="AB77" s="77"/>
      <c r="AC77" s="77"/>
    </row>
    <row r="78" spans="1:29" s="153" customFormat="1" ht="5.25" customHeight="1">
      <c r="A78" s="579">
        <v>15</v>
      </c>
      <c r="B78" s="581" t="str">
        <f>IF(Регистрация!$D$6&lt;A78," ",CONCATENATE(VLOOKUP(A78,Регистрация!$B$7:$N$71,3,FALSE)," ",VLOOKUP(A78,Регистрация!$B$7:$N$71,4,FALSE)," ","(",VLOOKUP(A78,Регистрация!$B$7:$N$71,11,FALSE),")"))</f>
        <v xml:space="preserve"> </v>
      </c>
      <c r="C78" s="582"/>
      <c r="D78" s="149"/>
      <c r="E78" s="389"/>
      <c r="F78" s="151"/>
      <c r="G78" s="390"/>
      <c r="H78" s="159"/>
      <c r="I78" s="149"/>
      <c r="J78" s="149"/>
      <c r="K78" s="152"/>
      <c r="R78" s="399"/>
      <c r="T78" s="397"/>
      <c r="U78" s="191"/>
      <c r="V78" s="611" t="str">
        <f>IF(Регистрация!$D$6&lt;W78," ",CONCATENATE(VLOOKUP(W78,Регистрация!$B$7:$N$71,3,FALSE)," ",VLOOKUP(W78,Регистрация!$B$7:$N$71,4,FALSE)," ","(",VLOOKUP(W78,Регистрация!$B$7:$N$71,11,FALSE),")"))</f>
        <v xml:space="preserve"> </v>
      </c>
      <c r="W78" s="613">
        <v>16</v>
      </c>
      <c r="X78" s="77"/>
      <c r="Y78" s="77"/>
      <c r="Z78" s="77"/>
      <c r="AA78" s="77"/>
      <c r="AB78" s="77"/>
      <c r="AC78" s="77"/>
    </row>
    <row r="79" spans="1:29" s="153" customFormat="1" ht="5.25" customHeight="1">
      <c r="A79" s="580"/>
      <c r="B79" s="583"/>
      <c r="C79" s="584"/>
      <c r="D79" s="597">
        <f>IF(A80&gt;$D$7,A78,)</f>
        <v>15</v>
      </c>
      <c r="E79" s="605" t="str">
        <f>IF(D79=0," ",CONCATENATE(VLOOKUP(D79,Регистрация!$B$7:$N$71,3,FALSE)," ",LEFT(VLOOKUP(D79,Регистрация!$B$7:$N$71,4,FALSE),1),"."))</f>
        <v xml:space="preserve"> .</v>
      </c>
      <c r="F79" s="151"/>
      <c r="G79" s="390"/>
      <c r="H79" s="159"/>
      <c r="I79" s="149"/>
      <c r="J79" s="597"/>
      <c r="K79" s="605" t="str">
        <f>IF(J79=0," ",CONCATENATE(VLOOKUP(J79,Регистрация!$B$7:$N$71,3,FALSE)," ",LEFT(VLOOKUP(J79,Регистрация!$B$7:$N$71,4,FALSE),1),"."))</f>
        <v xml:space="preserve"> </v>
      </c>
      <c r="N79" s="643" t="s">
        <v>37</v>
      </c>
      <c r="R79" s="399"/>
      <c r="T79" s="587" t="str">
        <f>IF(U79=0," ",CONCATENATE(VLOOKUP(U79,Регистрация!$B$7:$N$71,3,FALSE)," ",LEFT(VLOOKUP(U79,Регистрация!$B$7:$N$71,4,FALSE),1),"."))</f>
        <v xml:space="preserve"> .</v>
      </c>
      <c r="U79" s="624">
        <f>IF(W80&gt;$D$7,W78,)</f>
        <v>16</v>
      </c>
      <c r="V79" s="612"/>
      <c r="W79" s="614"/>
      <c r="X79" s="77"/>
      <c r="Y79" s="77"/>
      <c r="Z79" s="77"/>
      <c r="AA79" s="77"/>
      <c r="AB79" s="77"/>
      <c r="AC79" s="77"/>
    </row>
    <row r="80" spans="1:29" s="153" customFormat="1" ht="5.25" customHeight="1">
      <c r="A80" s="599">
        <v>47</v>
      </c>
      <c r="B80" s="592" t="str">
        <f>IF(Регистрация!$D$6&lt;A80," ",CONCATENATE(VLOOKUP(A80,Регистрация!$B$7:$N$71,3,FALSE)," ",VLOOKUP(A80,Регистрация!$B$7:$N$71,4,FALSE)," ","(",VLOOKUP(A80,Регистрация!$B$7:$N$71,11,FALSE),")"))</f>
        <v xml:space="preserve"> </v>
      </c>
      <c r="C80" s="593"/>
      <c r="D80" s="598"/>
      <c r="E80" s="606"/>
      <c r="F80" s="151"/>
      <c r="G80" s="390"/>
      <c r="H80" s="159"/>
      <c r="I80" s="149"/>
      <c r="J80" s="598"/>
      <c r="K80" s="606"/>
      <c r="N80" s="644"/>
      <c r="R80" s="400"/>
      <c r="T80" s="588"/>
      <c r="U80" s="625"/>
      <c r="V80" s="615" t="str">
        <f>IF(Регистрация!$D$6&lt;W80," ",CONCATENATE(VLOOKUP(W80,Регистрация!$B$7:$N$71,3,FALSE)," ",VLOOKUP(W80,Регистрация!$B$7:$N$71,4,FALSE)," ","(",VLOOKUP(W80,Регистрация!$B$7:$N$71,11,FALSE),")"))</f>
        <v xml:space="preserve"> </v>
      </c>
      <c r="W80" s="609">
        <v>48</v>
      </c>
      <c r="X80" s="77"/>
      <c r="Y80" s="77"/>
      <c r="Z80" s="77"/>
      <c r="AA80" s="77"/>
      <c r="AB80" s="77"/>
      <c r="AC80" s="77"/>
    </row>
    <row r="81" spans="1:29" s="153" customFormat="1" ht="5.25" customHeight="1">
      <c r="A81" s="600"/>
      <c r="B81" s="594"/>
      <c r="C81" s="595"/>
      <c r="D81" s="149"/>
      <c r="E81" s="389"/>
      <c r="F81" s="607"/>
      <c r="G81" s="605" t="str">
        <f>IF(F81=0," ",CONCATENATE(VLOOKUP(F81,Регистрация!$B$7:$N$71,3,FALSE)," ",LEFT(VLOOKUP(F81,Регистрация!$B$7:$N$71,4,FALSE),1),"."))</f>
        <v xml:space="preserve"> </v>
      </c>
      <c r="H81" s="151"/>
      <c r="I81" s="149"/>
      <c r="J81" s="149"/>
      <c r="K81" s="396"/>
      <c r="L81" s="639"/>
      <c r="M81" s="640"/>
      <c r="N81" s="605" t="str">
        <f>IF(L81=0," ",CONCATENATE(VLOOKUP(L81,Регистрация!$B$7:$N$71,3,FALSE)," ",LEFT(VLOOKUP(L81,Регистрация!$B$7:$N$71,4,FALSE),1),"."))</f>
        <v xml:space="preserve"> </v>
      </c>
      <c r="R81" s="587" t="str">
        <f>IF(S81=0," ",CONCATENATE(VLOOKUP(S81,Регистрация!$B$7:$N$71,3,FALSE)," ",LEFT(VLOOKUP(S81,Регистрация!$B$7:$N$71,4,FALSE),1),"."))</f>
        <v xml:space="preserve"> </v>
      </c>
      <c r="S81" s="585"/>
      <c r="T81" s="397"/>
      <c r="U81" s="191"/>
      <c r="V81" s="616"/>
      <c r="W81" s="610"/>
      <c r="X81" s="77"/>
      <c r="Y81" s="77"/>
      <c r="Z81" s="77"/>
      <c r="AA81" s="77"/>
      <c r="AB81" s="77"/>
      <c r="AC81" s="77"/>
    </row>
    <row r="82" spans="1:29" s="153" customFormat="1" ht="5.25" customHeight="1">
      <c r="A82" s="155"/>
      <c r="B82" s="156"/>
      <c r="C82" s="156"/>
      <c r="D82" s="149"/>
      <c r="E82" s="389"/>
      <c r="F82" s="608"/>
      <c r="G82" s="606"/>
      <c r="H82" s="151"/>
      <c r="I82" s="149"/>
      <c r="J82" s="149"/>
      <c r="K82" s="396"/>
      <c r="L82" s="641"/>
      <c r="M82" s="642"/>
      <c r="N82" s="606"/>
      <c r="R82" s="588"/>
      <c r="S82" s="586"/>
      <c r="T82" s="397"/>
      <c r="U82" s="191"/>
      <c r="V82" s="158"/>
      <c r="W82" s="155"/>
      <c r="X82" s="77"/>
      <c r="Y82" s="77"/>
      <c r="Z82" s="77"/>
      <c r="AA82" s="77"/>
      <c r="AB82" s="77"/>
      <c r="AC82" s="77"/>
    </row>
    <row r="83" spans="1:29" s="153" customFormat="1" ht="5.25" customHeight="1">
      <c r="A83" s="579">
        <v>31</v>
      </c>
      <c r="B83" s="581" t="str">
        <f>IF(Регистрация!$D$6&lt;A83," ",CONCATENATE(VLOOKUP(A83,Регистрация!$B$7:$N$71,3,FALSE)," ",VLOOKUP(A83,Регистрация!$B$7:$N$71,4,FALSE)," ","(",VLOOKUP(A83,Регистрация!$B$7:$N$71,11,FALSE),")"))</f>
        <v xml:space="preserve"> </v>
      </c>
      <c r="C83" s="582"/>
      <c r="D83" s="149"/>
      <c r="E83" s="389"/>
      <c r="F83" s="164"/>
      <c r="G83" s="151"/>
      <c r="H83" s="151"/>
      <c r="I83" s="149"/>
      <c r="J83" s="597"/>
      <c r="K83" s="605" t="str">
        <f>IF(J83=0," ",CONCATENATE(VLOOKUP(J83,Регистрация!$B$7:$N$71,3,FALSE)," ",LEFT(VLOOKUP(J83,Регистрация!$B$7:$N$71,4,FALSE),1),"."))</f>
        <v xml:space="preserve"> </v>
      </c>
      <c r="T83" s="400"/>
      <c r="U83" s="191"/>
      <c r="V83" s="611" t="str">
        <f>IF(Регистрация!$D$6&lt;W83," ",CONCATENATE(VLOOKUP(W83,Регистрация!$B$7:$N$71,3,FALSE)," ",VLOOKUP(W83,Регистрация!$B$7:$N$71,4,FALSE)," ","(",VLOOKUP(W83,Регистрация!$B$7:$N$71,11,FALSE),")"))</f>
        <v xml:space="preserve"> </v>
      </c>
      <c r="W83" s="613">
        <v>32</v>
      </c>
      <c r="X83" s="77"/>
      <c r="Y83" s="77"/>
      <c r="Z83" s="77"/>
      <c r="AA83" s="77"/>
      <c r="AB83" s="77"/>
      <c r="AC83" s="77"/>
    </row>
    <row r="84" spans="1:29" s="153" customFormat="1" ht="5.25" customHeight="1">
      <c r="A84" s="580"/>
      <c r="B84" s="583"/>
      <c r="C84" s="584"/>
      <c r="D84" s="597">
        <f>IF(A85&gt;$D$7,A83,)</f>
        <v>31</v>
      </c>
      <c r="E84" s="605" t="str">
        <f>IF(D84=0," ",CONCATENATE(VLOOKUP(D84,Регистрация!$B$7:$N$71,3,FALSE)," ",LEFT(VLOOKUP(D84,Регистрация!$B$7:$N$71,4,FALSE),1),"."))</f>
        <v xml:space="preserve"> .</v>
      </c>
      <c r="F84" s="151"/>
      <c r="G84" s="151"/>
      <c r="H84" s="151"/>
      <c r="I84" s="149"/>
      <c r="J84" s="598"/>
      <c r="K84" s="606"/>
      <c r="T84" s="587" t="str">
        <f>IF(U84=0," ",CONCATENATE(VLOOKUP(U84,Регистрация!$B$7:$N$71,3,FALSE)," ",LEFT(VLOOKUP(U84,Регистрация!$B$7:$N$71,4,FALSE),1),"."))</f>
        <v xml:space="preserve"> .</v>
      </c>
      <c r="U84" s="624">
        <f>IF(W85&gt;$D$7,W83,)</f>
        <v>32</v>
      </c>
      <c r="V84" s="612"/>
      <c r="W84" s="614"/>
      <c r="X84" s="77"/>
      <c r="Y84" s="77"/>
      <c r="Z84" s="77"/>
      <c r="AA84" s="77"/>
      <c r="AB84" s="77"/>
      <c r="AC84" s="77"/>
    </row>
    <row r="85" spans="1:29" s="153" customFormat="1" ht="5.25" customHeight="1">
      <c r="A85" s="599">
        <v>63</v>
      </c>
      <c r="B85" s="592" t="str">
        <f>IF(Регистрация!$D$6&lt;A85," ",CONCATENATE(VLOOKUP(A85,Регистрация!$B$7:$N$71,3,FALSE)," ",VLOOKUP(A85,Регистрация!$B$7:$N$71,4,FALSE)," ","(",VLOOKUP(A85,Регистрация!$B$7:$N$71,11,FALSE),")"))</f>
        <v xml:space="preserve"> </v>
      </c>
      <c r="C85" s="593"/>
      <c r="D85" s="598"/>
      <c r="E85" s="606"/>
      <c r="F85" s="151"/>
      <c r="G85" s="151"/>
      <c r="H85" s="151"/>
      <c r="I85" s="149"/>
      <c r="J85" s="149"/>
      <c r="K85" s="152"/>
      <c r="T85" s="588"/>
      <c r="U85" s="625"/>
      <c r="V85" s="615" t="str">
        <f>IF(Регистрация!$D$6&lt;W85," ",CONCATENATE(VLOOKUP(W85,Регистрация!$B$7:$N$71,3,FALSE)," ",VLOOKUP(W85,Регистрация!$B$7:$N$71,4,FALSE)," ","(",VLOOKUP(W85,Регистрация!$B$7:$N$71,11,FALSE),")"))</f>
        <v xml:space="preserve"> </v>
      </c>
      <c r="W85" s="609">
        <v>64</v>
      </c>
      <c r="X85" s="77"/>
      <c r="Y85" s="77"/>
      <c r="Z85" s="77"/>
      <c r="AA85" s="77"/>
      <c r="AB85" s="77"/>
      <c r="AC85" s="77"/>
    </row>
    <row r="86" spans="1:29" s="153" customFormat="1" ht="5.25" customHeight="1">
      <c r="A86" s="600"/>
      <c r="B86" s="594"/>
      <c r="C86" s="595"/>
      <c r="D86" s="149"/>
      <c r="E86" s="150"/>
      <c r="F86" s="151"/>
      <c r="G86" s="151"/>
      <c r="H86" s="151"/>
      <c r="I86" s="149"/>
      <c r="J86" s="149"/>
      <c r="K86" s="152"/>
      <c r="V86" s="616"/>
      <c r="W86" s="610"/>
      <c r="X86" s="77"/>
      <c r="Y86" s="77"/>
      <c r="Z86" s="77"/>
      <c r="AA86" s="77"/>
      <c r="AB86" s="77"/>
      <c r="AC86" s="77"/>
    </row>
    <row r="87" spans="1:29" ht="12.75" customHeight="1">
      <c r="A87" s="596"/>
      <c r="B87" s="596"/>
      <c r="C87" s="596"/>
      <c r="D87" s="596"/>
      <c r="E87" s="596"/>
      <c r="H87" s="165"/>
      <c r="I87" s="166"/>
      <c r="J87" s="166"/>
      <c r="K87" s="166"/>
    </row>
    <row r="88" spans="1:29" ht="12.75" customHeight="1">
      <c r="A88" s="183"/>
      <c r="B88" s="183"/>
      <c r="C88" s="596" t="s">
        <v>16</v>
      </c>
      <c r="D88" s="596"/>
      <c r="E88" s="596"/>
      <c r="F88" s="596"/>
      <c r="G88" s="596"/>
      <c r="H88" s="165"/>
      <c r="I88" s="166"/>
      <c r="J88" s="166"/>
      <c r="K88" s="166"/>
    </row>
    <row r="89" spans="1:29" ht="12.75" customHeight="1">
      <c r="A89" s="186"/>
      <c r="B89" s="187" t="s">
        <v>1</v>
      </c>
      <c r="C89" s="575" t="s">
        <v>17</v>
      </c>
      <c r="D89" s="645"/>
      <c r="E89" s="645"/>
      <c r="F89" s="645"/>
      <c r="G89" s="645"/>
      <c r="H89" s="645"/>
      <c r="I89" s="645"/>
      <c r="J89" s="167"/>
      <c r="V89" s="77"/>
      <c r="W89" s="77"/>
    </row>
    <row r="90" spans="1:29" ht="12.75" customHeight="1">
      <c r="A90" s="331">
        <f>IF(L18=0,0,L18)</f>
        <v>0</v>
      </c>
      <c r="B90" s="188">
        <v>1</v>
      </c>
      <c r="C90" s="543" t="str">
        <f>IF(A90=0," ",CONCATENATE(VLOOKUP(A90,Регистрация!$B$7:$N$71,3,FALSE)," ",VLOOKUP(A90,Регистрация!$B$7:$N$71,4,FALSE)," ",VLOOKUP(A90,Регистрация!$B$7:$N$71,5,FALSE)," ","(",VLOOKUP(A90,Регистрация!$B$7:$N$71,11,FALSE),")"))</f>
        <v xml:space="preserve"> </v>
      </c>
      <c r="D90" s="539"/>
      <c r="E90" s="539"/>
      <c r="F90" s="539"/>
      <c r="G90" s="539"/>
      <c r="H90" s="539"/>
      <c r="I90" s="539"/>
      <c r="J90" s="166"/>
      <c r="K90" s="590" t="str">
        <f>Регистрация!F73</f>
        <v>Главный судья:</v>
      </c>
      <c r="L90" s="590"/>
      <c r="M90" s="590"/>
      <c r="N90" s="590"/>
      <c r="O90" s="401"/>
      <c r="P90" s="401"/>
      <c r="Q90" s="401"/>
      <c r="R90" s="185"/>
      <c r="S90" s="522" t="str">
        <f>Регистрация!N73</f>
        <v>Цыльев В.А. С1К</v>
      </c>
      <c r="T90" s="522"/>
      <c r="U90" s="522"/>
      <c r="V90" s="522"/>
      <c r="W90" s="522"/>
    </row>
    <row r="91" spans="1:29" ht="12.75" customHeight="1">
      <c r="A91" s="331">
        <f>IF(L18=0,0,(IF(J46=L18,O46,(IF(O46=L18,J46,0)))))</f>
        <v>0</v>
      </c>
      <c r="B91" s="188">
        <v>2</v>
      </c>
      <c r="C91" s="543" t="str">
        <f>IF(A91=0," ",CONCATENATE(VLOOKUP(A91,Регистрация!$B$7:$N$71,3,FALSE)," ",VLOOKUP(A91,Регистрация!$B$7:$N$71,4,FALSE)," ",VLOOKUP(A91,Регистрация!$B$7:$N$71,5,FALSE)," ","(",VLOOKUP(A91,Регистрация!$B$7:$N$71,11,FALSE),")"))</f>
        <v xml:space="preserve"> </v>
      </c>
      <c r="D91" s="539"/>
      <c r="E91" s="539"/>
      <c r="F91" s="539"/>
      <c r="G91" s="539"/>
      <c r="H91" s="539"/>
      <c r="I91" s="539"/>
      <c r="K91" s="114"/>
      <c r="W91" s="184"/>
    </row>
    <row r="92" spans="1:29" ht="12.75" customHeight="1">
      <c r="A92" s="331">
        <f>IF(L81=0,0,L81)</f>
        <v>0</v>
      </c>
      <c r="B92" s="188">
        <v>3</v>
      </c>
      <c r="C92" s="543" t="str">
        <f>IF(A92=0," ",CONCATENATE(VLOOKUP(A92,Регистрация!$B$7:$N$71,3,FALSE)," ",VLOOKUP(A92,Регистрация!$B$7:$N$71,4,FALSE)," ",VLOOKUP(A92,Регистрация!$B$7:$N$71,5,FALSE)," ","(",VLOOKUP(A92,Регистрация!$B$7:$N$71,11,FALSE),")"))</f>
        <v xml:space="preserve"> </v>
      </c>
      <c r="D92" s="539"/>
      <c r="E92" s="539"/>
      <c r="F92" s="539"/>
      <c r="G92" s="539"/>
      <c r="H92" s="539"/>
      <c r="I92" s="539"/>
      <c r="T92" s="78"/>
      <c r="U92" s="78"/>
      <c r="V92" s="78"/>
      <c r="W92" s="78"/>
    </row>
    <row r="93" spans="1:29" ht="12.75" customHeight="1">
      <c r="A93" s="331">
        <f>IF(L81=0,0,(IF(L81=J79,J83,(IF(L81=J83,J79,0)))))</f>
        <v>0</v>
      </c>
      <c r="B93" s="188">
        <v>4</v>
      </c>
      <c r="C93" s="543" t="str">
        <f>IF(A93=0," ",CONCATENATE(VLOOKUP(A93,Регистрация!$B$7:$N$71,3,FALSE)," ",VLOOKUP(A93,Регистрация!$B$7:$N$71,4,FALSE)," ",VLOOKUP(A93,Регистрация!$B$7:$N$71,5,FALSE)," ","(",VLOOKUP(A93,Регистрация!$B$7:$N$71,11,FALSE),")"))</f>
        <v xml:space="preserve"> </v>
      </c>
      <c r="D93" s="539"/>
      <c r="E93" s="539"/>
      <c r="F93" s="539"/>
      <c r="G93" s="539"/>
      <c r="H93" s="539"/>
      <c r="I93" s="539"/>
      <c r="K93" s="589" t="str">
        <f>Регистрация!F74</f>
        <v>Главный секретерь:</v>
      </c>
      <c r="L93" s="589"/>
      <c r="M93" s="589"/>
      <c r="N93" s="589"/>
      <c r="O93" s="182"/>
      <c r="P93" s="182"/>
      <c r="Q93" s="182"/>
      <c r="R93" s="182"/>
      <c r="S93" s="591" t="str">
        <f>Регистрация!N74</f>
        <v>Орлова Е.С 3 К</v>
      </c>
      <c r="T93" s="591"/>
      <c r="U93" s="591"/>
      <c r="V93" s="591"/>
      <c r="W93" s="591"/>
    </row>
    <row r="94" spans="1:29" s="78" customFormat="1" ht="12" customHeight="1">
      <c r="A94" s="96"/>
      <c r="B94" s="96"/>
      <c r="C94" s="96"/>
      <c r="D94" s="178"/>
      <c r="E94" s="168"/>
      <c r="F94" s="168"/>
      <c r="G94" s="168"/>
      <c r="H94" s="168"/>
      <c r="I94" s="96"/>
      <c r="J94" s="96"/>
      <c r="K94" s="96"/>
      <c r="L94" s="96"/>
      <c r="M94" s="96"/>
      <c r="N94" s="96"/>
      <c r="O94" s="96"/>
      <c r="P94" s="168"/>
      <c r="Q94" s="168"/>
      <c r="R94" s="168"/>
      <c r="S94" s="168"/>
      <c r="T94" s="96"/>
      <c r="U94" s="96"/>
      <c r="V94" s="96"/>
      <c r="W94" s="96"/>
      <c r="X94" s="77"/>
      <c r="Y94" s="77"/>
      <c r="Z94" s="77"/>
      <c r="AA94" s="77"/>
      <c r="AB94" s="77"/>
      <c r="AC94" s="77"/>
    </row>
    <row r="95" spans="1:29" s="78" customFormat="1" ht="7.5" customHeight="1">
      <c r="A95" s="179"/>
      <c r="B95" s="180"/>
      <c r="C95" s="180"/>
      <c r="D95" s="178"/>
      <c r="E95" s="168"/>
      <c r="F95" s="168"/>
      <c r="G95" s="168"/>
      <c r="H95" s="168"/>
      <c r="I95" s="96"/>
      <c r="J95" s="96"/>
      <c r="K95" s="96"/>
      <c r="L95" s="96"/>
      <c r="M95" s="96"/>
      <c r="N95" s="96"/>
      <c r="O95" s="96"/>
      <c r="P95" s="168"/>
      <c r="Q95" s="168"/>
      <c r="R95" s="168"/>
      <c r="S95" s="168"/>
      <c r="T95" s="168"/>
      <c r="U95" s="168"/>
      <c r="V95" s="181"/>
      <c r="W95" s="169"/>
      <c r="X95" s="77"/>
      <c r="Y95" s="77"/>
      <c r="Z95" s="77"/>
      <c r="AA95" s="77"/>
      <c r="AB95" s="77"/>
      <c r="AC95" s="77"/>
    </row>
    <row r="96" spans="1:29" s="78" customFormat="1" ht="13.5" customHeight="1">
      <c r="A96" s="96"/>
      <c r="B96" s="96"/>
      <c r="C96" s="96"/>
      <c r="D96" s="178"/>
      <c r="E96" s="168"/>
      <c r="F96" s="168"/>
      <c r="G96" s="168"/>
      <c r="H96" s="168"/>
      <c r="I96" s="96"/>
      <c r="J96" s="96"/>
      <c r="K96" s="96"/>
      <c r="L96" s="96"/>
      <c r="M96" s="96"/>
      <c r="N96" s="96"/>
      <c r="O96" s="96"/>
      <c r="P96" s="168"/>
      <c r="Q96" s="168"/>
      <c r="R96" s="168"/>
      <c r="S96" s="168"/>
      <c r="T96" s="96"/>
      <c r="U96" s="96"/>
      <c r="V96" s="96"/>
      <c r="W96" s="169"/>
      <c r="X96" s="77"/>
      <c r="Y96" s="77"/>
      <c r="Z96" s="77"/>
      <c r="AA96" s="77"/>
      <c r="AB96" s="77"/>
      <c r="AC96" s="77"/>
    </row>
    <row r="97" spans="1:23" ht="11.15" customHeight="1">
      <c r="W97" s="184"/>
    </row>
    <row r="98" spans="1:23" ht="11.15" customHeight="1">
      <c r="A98" s="184"/>
      <c r="D98" s="77"/>
      <c r="W98" s="184"/>
    </row>
    <row r="99" spans="1:23" ht="11.15" customHeight="1">
      <c r="A99" s="184"/>
      <c r="D99" s="77"/>
      <c r="W99" s="184"/>
    </row>
    <row r="100" spans="1:23" ht="11.15" customHeight="1">
      <c r="A100" s="184"/>
      <c r="D100" s="77"/>
      <c r="W100" s="184"/>
    </row>
    <row r="101" spans="1:23" ht="11.15" customHeight="1">
      <c r="A101" s="184"/>
      <c r="D101" s="77"/>
      <c r="W101" s="184"/>
    </row>
    <row r="102" spans="1:23" ht="12" customHeight="1">
      <c r="A102" s="184"/>
      <c r="D102" s="77"/>
      <c r="W102" s="184"/>
    </row>
    <row r="103" spans="1:23" ht="12" customHeight="1">
      <c r="A103" s="184"/>
      <c r="D103" s="77"/>
      <c r="W103" s="184"/>
    </row>
    <row r="104" spans="1:23" ht="12" customHeight="1">
      <c r="A104" s="184"/>
      <c r="D104" s="77"/>
      <c r="W104" s="184"/>
    </row>
    <row r="105" spans="1:23" ht="12" customHeight="1">
      <c r="A105" s="184"/>
      <c r="D105" s="77"/>
      <c r="W105" s="184"/>
    </row>
    <row r="106" spans="1:23" ht="12" customHeight="1">
      <c r="A106" s="184"/>
      <c r="D106" s="77"/>
      <c r="W106" s="184"/>
    </row>
    <row r="107" spans="1:23" ht="12" customHeight="1">
      <c r="A107" s="184"/>
      <c r="D107" s="77"/>
      <c r="W107" s="184"/>
    </row>
    <row r="108" spans="1:23" ht="12" customHeight="1">
      <c r="A108" s="184"/>
      <c r="D108" s="77"/>
      <c r="W108" s="184"/>
    </row>
    <row r="109" spans="1:23" ht="12" customHeight="1">
      <c r="A109" s="184"/>
      <c r="D109" s="77"/>
      <c r="W109" s="184"/>
    </row>
    <row r="110" spans="1:23" ht="12" customHeight="1">
      <c r="A110" s="184"/>
      <c r="D110" s="77"/>
      <c r="W110" s="184"/>
    </row>
    <row r="111" spans="1:23" ht="12" customHeight="1">
      <c r="A111" s="184"/>
      <c r="D111" s="77"/>
      <c r="W111" s="184"/>
    </row>
    <row r="112" spans="1:23" ht="12" customHeight="1">
      <c r="A112" s="184"/>
      <c r="D112" s="77"/>
      <c r="W112" s="184"/>
    </row>
    <row r="113" spans="1:23" ht="12" customHeight="1">
      <c r="A113" s="184"/>
      <c r="D113" s="77"/>
      <c r="W113" s="184"/>
    </row>
    <row r="114" spans="1:23" ht="12" customHeight="1">
      <c r="W114" s="184"/>
    </row>
  </sheetData>
  <mergeCells count="280">
    <mergeCell ref="N81:N82"/>
    <mergeCell ref="L81:M82"/>
    <mergeCell ref="N79:N80"/>
    <mergeCell ref="C90:I90"/>
    <mergeCell ref="C89:I89"/>
    <mergeCell ref="C93:I93"/>
    <mergeCell ref="C92:I92"/>
    <mergeCell ref="C91:I91"/>
    <mergeCell ref="N44:O45"/>
    <mergeCell ref="J79:J80"/>
    <mergeCell ref="K79:K80"/>
    <mergeCell ref="J83:J84"/>
    <mergeCell ref="K83:K84"/>
    <mergeCell ref="H56:H57"/>
    <mergeCell ref="I56:I57"/>
    <mergeCell ref="H76:H77"/>
    <mergeCell ref="I76:I77"/>
    <mergeCell ref="J66:J67"/>
    <mergeCell ref="K66:K67"/>
    <mergeCell ref="J46:J47"/>
    <mergeCell ref="K46:K47"/>
    <mergeCell ref="G81:G82"/>
    <mergeCell ref="E84:E85"/>
    <mergeCell ref="F81:F82"/>
    <mergeCell ref="N26:N27"/>
    <mergeCell ref="O26:O27"/>
    <mergeCell ref="N66:N67"/>
    <mergeCell ref="O66:O67"/>
    <mergeCell ref="N46:N47"/>
    <mergeCell ref="O46:O47"/>
    <mergeCell ref="P36:P37"/>
    <mergeCell ref="Q36:Q37"/>
    <mergeCell ref="K13:N17"/>
    <mergeCell ref="K20:N21"/>
    <mergeCell ref="L18:M19"/>
    <mergeCell ref="T29:T30"/>
    <mergeCell ref="U29:U30"/>
    <mergeCell ref="T34:T35"/>
    <mergeCell ref="U34:U35"/>
    <mergeCell ref="T39:T40"/>
    <mergeCell ref="U39:U40"/>
    <mergeCell ref="R81:R82"/>
    <mergeCell ref="S81:S82"/>
    <mergeCell ref="P16:P17"/>
    <mergeCell ref="Q16:Q17"/>
    <mergeCell ref="R51:R52"/>
    <mergeCell ref="S51:S52"/>
    <mergeCell ref="R61:R62"/>
    <mergeCell ref="S61:S62"/>
    <mergeCell ref="R71:R72"/>
    <mergeCell ref="S71:S72"/>
    <mergeCell ref="P56:P57"/>
    <mergeCell ref="Q56:Q57"/>
    <mergeCell ref="P76:P77"/>
    <mergeCell ref="Q76:Q77"/>
    <mergeCell ref="R31:R32"/>
    <mergeCell ref="S31:S32"/>
    <mergeCell ref="R41:R42"/>
    <mergeCell ref="S41:S42"/>
    <mergeCell ref="V85:V86"/>
    <mergeCell ref="V48:V49"/>
    <mergeCell ref="V33:V34"/>
    <mergeCell ref="T84:T85"/>
    <mergeCell ref="U84:U85"/>
    <mergeCell ref="U69:U70"/>
    <mergeCell ref="T74:T75"/>
    <mergeCell ref="U74:U75"/>
    <mergeCell ref="T79:T80"/>
    <mergeCell ref="U79:U80"/>
    <mergeCell ref="U54:U55"/>
    <mergeCell ref="U59:U60"/>
    <mergeCell ref="U64:U65"/>
    <mergeCell ref="U44:U45"/>
    <mergeCell ref="T69:T70"/>
    <mergeCell ref="T54:T55"/>
    <mergeCell ref="T59:T60"/>
    <mergeCell ref="T64:T65"/>
    <mergeCell ref="T44:T45"/>
    <mergeCell ref="T49:T50"/>
    <mergeCell ref="U49:U50"/>
    <mergeCell ref="W85:W86"/>
    <mergeCell ref="T9:T10"/>
    <mergeCell ref="U9:U10"/>
    <mergeCell ref="T14:T15"/>
    <mergeCell ref="U14:U15"/>
    <mergeCell ref="T19:T20"/>
    <mergeCell ref="U19:U20"/>
    <mergeCell ref="T24:T25"/>
    <mergeCell ref="U24:U25"/>
    <mergeCell ref="V78:V79"/>
    <mergeCell ref="W78:W79"/>
    <mergeCell ref="V80:V81"/>
    <mergeCell ref="W80:W81"/>
    <mergeCell ref="V83:V84"/>
    <mergeCell ref="W83:W84"/>
    <mergeCell ref="V70:V71"/>
    <mergeCell ref="W70:W71"/>
    <mergeCell ref="V73:V74"/>
    <mergeCell ref="W73:W74"/>
    <mergeCell ref="V75:V76"/>
    <mergeCell ref="W75:W76"/>
    <mergeCell ref="V63:V64"/>
    <mergeCell ref="W63:W64"/>
    <mergeCell ref="V65:V66"/>
    <mergeCell ref="W65:W66"/>
    <mergeCell ref="V68:V69"/>
    <mergeCell ref="W68:W69"/>
    <mergeCell ref="V55:V56"/>
    <mergeCell ref="W55:W56"/>
    <mergeCell ref="V58:V59"/>
    <mergeCell ref="W58:W59"/>
    <mergeCell ref="V60:V61"/>
    <mergeCell ref="W60:W61"/>
    <mergeCell ref="W48:W49"/>
    <mergeCell ref="V50:V51"/>
    <mergeCell ref="W50:W51"/>
    <mergeCell ref="V53:V54"/>
    <mergeCell ref="W53:W54"/>
    <mergeCell ref="V40:V41"/>
    <mergeCell ref="W40:W41"/>
    <mergeCell ref="V43:V44"/>
    <mergeCell ref="W43:W44"/>
    <mergeCell ref="V45:V46"/>
    <mergeCell ref="W45:W46"/>
    <mergeCell ref="W33:W34"/>
    <mergeCell ref="V35:V36"/>
    <mergeCell ref="W35:W36"/>
    <mergeCell ref="V38:V39"/>
    <mergeCell ref="W38:W39"/>
    <mergeCell ref="V25:V26"/>
    <mergeCell ref="W25:W26"/>
    <mergeCell ref="V28:V29"/>
    <mergeCell ref="W28:W29"/>
    <mergeCell ref="V30:V31"/>
    <mergeCell ref="W30:W31"/>
    <mergeCell ref="W15:W16"/>
    <mergeCell ref="V18:V19"/>
    <mergeCell ref="W18:W19"/>
    <mergeCell ref="V20:V21"/>
    <mergeCell ref="W20:W21"/>
    <mergeCell ref="V23:V24"/>
    <mergeCell ref="W23:W24"/>
    <mergeCell ref="J44:K45"/>
    <mergeCell ref="A5:F5"/>
    <mergeCell ref="G5:S5"/>
    <mergeCell ref="V8:V9"/>
    <mergeCell ref="W8:W9"/>
    <mergeCell ref="V10:V11"/>
    <mergeCell ref="W10:W11"/>
    <mergeCell ref="V13:V14"/>
    <mergeCell ref="W13:W14"/>
    <mergeCell ref="V15:V16"/>
    <mergeCell ref="J26:J27"/>
    <mergeCell ref="K26:K27"/>
    <mergeCell ref="E19:E20"/>
    <mergeCell ref="D24:D25"/>
    <mergeCell ref="E24:E25"/>
    <mergeCell ref="D29:D30"/>
    <mergeCell ref="E29:E30"/>
    <mergeCell ref="H36:H37"/>
    <mergeCell ref="I36:I37"/>
    <mergeCell ref="F61:F62"/>
    <mergeCell ref="G61:G62"/>
    <mergeCell ref="F71:F72"/>
    <mergeCell ref="G71:G72"/>
    <mergeCell ref="F51:F52"/>
    <mergeCell ref="G51:G52"/>
    <mergeCell ref="F31:F32"/>
    <mergeCell ref="G31:G32"/>
    <mergeCell ref="F41:F42"/>
    <mergeCell ref="G41:G42"/>
    <mergeCell ref="E74:E75"/>
    <mergeCell ref="D79:D80"/>
    <mergeCell ref="E79:E80"/>
    <mergeCell ref="D54:D55"/>
    <mergeCell ref="E54:E55"/>
    <mergeCell ref="D59:D60"/>
    <mergeCell ref="E59:E60"/>
    <mergeCell ref="D64:D65"/>
    <mergeCell ref="E64:E65"/>
    <mergeCell ref="E69:E70"/>
    <mergeCell ref="D69:D70"/>
    <mergeCell ref="D74:D75"/>
    <mergeCell ref="D34:D35"/>
    <mergeCell ref="F11:F12"/>
    <mergeCell ref="F21:F22"/>
    <mergeCell ref="D39:D40"/>
    <mergeCell ref="E39:E40"/>
    <mergeCell ref="D44:D45"/>
    <mergeCell ref="E44:E45"/>
    <mergeCell ref="D49:D50"/>
    <mergeCell ref="E49:E50"/>
    <mergeCell ref="E34:E35"/>
    <mergeCell ref="A13:A14"/>
    <mergeCell ref="A68:A69"/>
    <mergeCell ref="B68:C69"/>
    <mergeCell ref="A70:A71"/>
    <mergeCell ref="B70:C71"/>
    <mergeCell ref="A73:A74"/>
    <mergeCell ref="B73:C74"/>
    <mergeCell ref="A60:A61"/>
    <mergeCell ref="A65:A66"/>
    <mergeCell ref="B35:C36"/>
    <mergeCell ref="A45:A46"/>
    <mergeCell ref="B45:C46"/>
    <mergeCell ref="A48:A49"/>
    <mergeCell ref="B48:C49"/>
    <mergeCell ref="A50:A51"/>
    <mergeCell ref="A83:A84"/>
    <mergeCell ref="A85:A86"/>
    <mergeCell ref="A80:A81"/>
    <mergeCell ref="B1:V1"/>
    <mergeCell ref="B3:V3"/>
    <mergeCell ref="G7:R7"/>
    <mergeCell ref="A15:A16"/>
    <mergeCell ref="B15:C16"/>
    <mergeCell ref="A18:A19"/>
    <mergeCell ref="B18:C19"/>
    <mergeCell ref="A20:A21"/>
    <mergeCell ref="B20:C21"/>
    <mergeCell ref="E9:E10"/>
    <mergeCell ref="D9:D10"/>
    <mergeCell ref="D14:D15"/>
    <mergeCell ref="E14:E15"/>
    <mergeCell ref="D19:D20"/>
    <mergeCell ref="H16:H17"/>
    <mergeCell ref="I16:I17"/>
    <mergeCell ref="R11:R12"/>
    <mergeCell ref="G11:G12"/>
    <mergeCell ref="G21:G22"/>
    <mergeCell ref="B8:C9"/>
    <mergeCell ref="A75:A76"/>
    <mergeCell ref="A8:A9"/>
    <mergeCell ref="A63:A64"/>
    <mergeCell ref="B63:C64"/>
    <mergeCell ref="A30:A31"/>
    <mergeCell ref="B30:C31"/>
    <mergeCell ref="B50:C51"/>
    <mergeCell ref="A38:A39"/>
    <mergeCell ref="B38:C39"/>
    <mergeCell ref="A40:A41"/>
    <mergeCell ref="B40:C41"/>
    <mergeCell ref="A43:A44"/>
    <mergeCell ref="B43:C44"/>
    <mergeCell ref="A33:A34"/>
    <mergeCell ref="B33:C34"/>
    <mergeCell ref="A35:A36"/>
    <mergeCell ref="B13:C14"/>
    <mergeCell ref="A53:A54"/>
    <mergeCell ref="B53:C54"/>
    <mergeCell ref="A55:A56"/>
    <mergeCell ref="B55:C56"/>
    <mergeCell ref="A58:A59"/>
    <mergeCell ref="B58:C59"/>
    <mergeCell ref="A10:A11"/>
    <mergeCell ref="B10:C11"/>
    <mergeCell ref="A78:A79"/>
    <mergeCell ref="B78:C79"/>
    <mergeCell ref="S11:S12"/>
    <mergeCell ref="R21:R22"/>
    <mergeCell ref="S21:S22"/>
    <mergeCell ref="K93:N93"/>
    <mergeCell ref="K90:N90"/>
    <mergeCell ref="S93:W93"/>
    <mergeCell ref="S90:W90"/>
    <mergeCell ref="B60:C61"/>
    <mergeCell ref="B65:C66"/>
    <mergeCell ref="C88:G88"/>
    <mergeCell ref="B83:C84"/>
    <mergeCell ref="B85:C86"/>
    <mergeCell ref="B80:C81"/>
    <mergeCell ref="D84:D85"/>
    <mergeCell ref="B75:C76"/>
    <mergeCell ref="A87:E87"/>
    <mergeCell ref="A23:A24"/>
    <mergeCell ref="B23:C24"/>
    <mergeCell ref="A25:A26"/>
    <mergeCell ref="B25:C26"/>
    <mergeCell ref="A28:A29"/>
    <mergeCell ref="B28:C29"/>
  </mergeCells>
  <pageMargins left="0.16" right="0.16" top="0.12" bottom="0.23" header="0.11" footer="0.16"/>
  <pageSetup paperSize="9" orientation="landscape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3"/>
  <dimension ref="A1:AB74"/>
  <sheetViews>
    <sheetView showGridLines="0" showZeros="0" topLeftCell="A7" zoomScale="150" zoomScaleNormal="150" workbookViewId="0">
      <selection activeCell="I76" sqref="I76"/>
    </sheetView>
  </sheetViews>
  <sheetFormatPr defaultColWidth="9.1796875" defaultRowHeight="12.5"/>
  <cols>
    <col min="1" max="1" width="1.54296875" style="333" customWidth="1"/>
    <col min="2" max="2" width="25.7265625" style="334" customWidth="1"/>
    <col min="3" max="3" width="3.54296875" style="334" customWidth="1"/>
    <col min="4" max="8" width="2.81640625" style="334" customWidth="1"/>
    <col min="9" max="9" width="4.26953125" style="334" customWidth="1"/>
    <col min="10" max="10" width="3.54296875" style="334" customWidth="1"/>
    <col min="11" max="15" width="2.81640625" style="334" customWidth="1"/>
    <col min="16" max="16" width="4.26953125" style="334" customWidth="1"/>
    <col min="17" max="17" width="3.54296875" style="334" customWidth="1"/>
    <col min="18" max="22" width="2.81640625" style="334" customWidth="1"/>
    <col min="23" max="23" width="4.26953125" style="334" customWidth="1"/>
    <col min="24" max="24" width="4.54296875" style="334" customWidth="1"/>
    <col min="25" max="27" width="7" style="334" customWidth="1"/>
    <col min="28" max="28" width="1.54296875" style="333" customWidth="1"/>
    <col min="29" max="29" width="9" style="334" customWidth="1"/>
    <col min="30" max="30" width="9.1796875" style="334" customWidth="1"/>
    <col min="31" max="1024" width="8.7265625" style="334" customWidth="1"/>
    <col min="1025" max="16384" width="9.1796875" style="334"/>
  </cols>
  <sheetData>
    <row r="1" spans="1:28" ht="13.5" customHeight="1">
      <c r="A1" s="655" t="str">
        <f>Регистрация!A1</f>
        <v xml:space="preserve"> Межмуниципальные соревнования по всестилевому каратэ "Первый старт" 27 сентября 2025 г.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5"/>
      <c r="P1" s="655"/>
      <c r="Q1" s="655"/>
      <c r="R1" s="655"/>
      <c r="S1" s="655"/>
      <c r="T1" s="655"/>
      <c r="U1" s="655"/>
      <c r="V1" s="655"/>
      <c r="W1" s="655"/>
      <c r="X1" s="655"/>
      <c r="Y1" s="332"/>
      <c r="Z1" s="332"/>
      <c r="AA1" s="332"/>
    </row>
    <row r="2" spans="1:28" ht="13.5" customHeight="1">
      <c r="A2" s="656" t="str">
        <f>Регистрация!A2</f>
        <v>Вид спорта: ВСЕСТИЛЕВОЕ КАРАТЭ (номер-код вида спорта - 0900001411Я)</v>
      </c>
      <c r="B2" s="656"/>
      <c r="C2" s="656"/>
      <c r="D2" s="656"/>
      <c r="E2" s="656"/>
      <c r="F2" s="656"/>
      <c r="G2" s="656"/>
      <c r="H2" s="656"/>
      <c r="I2" s="656"/>
      <c r="J2" s="656"/>
      <c r="K2" s="656"/>
      <c r="L2" s="656"/>
      <c r="M2" s="656"/>
      <c r="N2" s="656"/>
      <c r="O2" s="656"/>
      <c r="P2" s="656"/>
      <c r="Q2" s="656"/>
      <c r="R2" s="656"/>
      <c r="S2" s="656"/>
      <c r="T2" s="656"/>
      <c r="U2" s="656"/>
      <c r="V2" s="656"/>
      <c r="W2" s="656"/>
      <c r="X2" s="656"/>
      <c r="Y2" s="335"/>
      <c r="Z2" s="335"/>
      <c r="AA2" s="335"/>
    </row>
    <row r="3" spans="1:28" ht="17.25" customHeight="1">
      <c r="A3" s="657" t="str">
        <f>Регистрация!A3</f>
        <v>Женщины 18 +  ОК-двоеборье</v>
      </c>
      <c r="B3" s="657"/>
      <c r="C3" s="657"/>
      <c r="D3" s="657"/>
      <c r="E3" s="657" t="str">
        <f>Регистрация!G3</f>
        <v>г. Санкт-Петербург</v>
      </c>
      <c r="F3" s="657"/>
      <c r="G3" s="657"/>
      <c r="H3" s="657"/>
      <c r="I3" s="657"/>
      <c r="J3" s="657"/>
      <c r="K3" s="657"/>
      <c r="L3" s="657"/>
      <c r="M3" s="657"/>
      <c r="N3" s="657"/>
      <c r="O3" s="657"/>
      <c r="P3" s="657"/>
      <c r="Q3" s="657"/>
      <c r="R3" s="658" t="str">
        <f>Регистрация!L3</f>
        <v>27 сентября 2025</v>
      </c>
      <c r="S3" s="658"/>
      <c r="T3" s="658"/>
      <c r="U3" s="658"/>
      <c r="V3" s="658"/>
      <c r="W3" s="658">
        <f>Регистрация!N3</f>
        <v>0</v>
      </c>
      <c r="X3" s="658"/>
      <c r="Y3" s="335"/>
      <c r="Z3" s="336"/>
      <c r="AA3" s="335"/>
    </row>
    <row r="4" spans="1:28" ht="17.25" customHeight="1">
      <c r="A4" s="648" t="s">
        <v>29</v>
      </c>
      <c r="B4" s="648"/>
      <c r="C4" s="648"/>
      <c r="D4" s="648"/>
      <c r="E4" s="648"/>
      <c r="F4" s="648"/>
      <c r="G4" s="648"/>
      <c r="H4" s="648"/>
      <c r="I4" s="648"/>
      <c r="J4" s="648"/>
      <c r="K4" s="648"/>
      <c r="L4" s="648"/>
      <c r="M4" s="648"/>
      <c r="N4" s="648"/>
      <c r="O4" s="648"/>
      <c r="P4" s="648"/>
      <c r="Q4" s="648"/>
      <c r="R4" s="648"/>
      <c r="S4" s="648"/>
      <c r="T4" s="648"/>
      <c r="U4" s="648"/>
      <c r="V4" s="648"/>
      <c r="W4" s="648"/>
      <c r="X4" s="648"/>
      <c r="Y4" s="337"/>
      <c r="Z4" s="336"/>
      <c r="AA4" s="335"/>
    </row>
    <row r="5" spans="1:28" s="341" customFormat="1" ht="9" customHeight="1">
      <c r="A5" s="210"/>
      <c r="B5" s="338"/>
      <c r="C5" s="660" t="s">
        <v>30</v>
      </c>
      <c r="D5" s="660"/>
      <c r="E5" s="660"/>
      <c r="F5" s="660"/>
      <c r="G5" s="660"/>
      <c r="H5" s="660"/>
      <c r="I5" s="660"/>
      <c r="J5" s="654" t="s">
        <v>31</v>
      </c>
      <c r="K5" s="660"/>
      <c r="L5" s="660"/>
      <c r="M5" s="660"/>
      <c r="N5" s="660"/>
      <c r="O5" s="660"/>
      <c r="P5" s="660"/>
      <c r="Q5" s="654" t="s">
        <v>43</v>
      </c>
      <c r="R5" s="660"/>
      <c r="S5" s="660"/>
      <c r="T5" s="660"/>
      <c r="U5" s="660"/>
      <c r="V5" s="660"/>
      <c r="W5" s="660"/>
      <c r="X5" s="339"/>
      <c r="Y5" s="333"/>
      <c r="Z5" s="340"/>
      <c r="AA5" s="340"/>
      <c r="AB5" s="333"/>
    </row>
    <row r="6" spans="1:28" s="341" customFormat="1" ht="14.25" customHeight="1">
      <c r="A6" s="211" t="s">
        <v>2</v>
      </c>
      <c r="B6" s="342" t="s">
        <v>42</v>
      </c>
      <c r="C6" s="357" t="s">
        <v>41</v>
      </c>
      <c r="D6" s="649" t="s">
        <v>33</v>
      </c>
      <c r="E6" s="650"/>
      <c r="F6" s="650"/>
      <c r="G6" s="650"/>
      <c r="H6" s="651"/>
      <c r="I6" s="344" t="s">
        <v>32</v>
      </c>
      <c r="J6" s="343" t="s">
        <v>41</v>
      </c>
      <c r="K6" s="652" t="s">
        <v>33</v>
      </c>
      <c r="L6" s="653"/>
      <c r="M6" s="653"/>
      <c r="N6" s="653"/>
      <c r="O6" s="654"/>
      <c r="P6" s="344" t="s">
        <v>32</v>
      </c>
      <c r="Q6" s="343" t="s">
        <v>41</v>
      </c>
      <c r="R6" s="652" t="s">
        <v>33</v>
      </c>
      <c r="S6" s="653"/>
      <c r="T6" s="653"/>
      <c r="U6" s="653"/>
      <c r="V6" s="654"/>
      <c r="W6" s="345" t="s">
        <v>32</v>
      </c>
      <c r="X6" s="346" t="s">
        <v>28</v>
      </c>
      <c r="Y6" s="333"/>
      <c r="Z6" s="340"/>
      <c r="AA6" s="340"/>
      <c r="AB6" s="333"/>
    </row>
    <row r="7" spans="1:28" ht="20.149999999999999" customHeight="1">
      <c r="A7" s="214">
        <v>1</v>
      </c>
      <c r="B7" s="470" t="str">
        <f>CONCATENATE(VLOOKUP('ОК-КАТА по баллам'!A7,Регистрация!$B$7:$N$71,3,FALSE)," ",VLOOKUP('ОК-КАТА по баллам'!A7,Регистрация!$B$7:$N$71,4,FALSE)," (",VLOOKUP('ОК-КАТА по баллам'!A7,Регистрация!$B$7:$N$71,11,FALSE),")")</f>
        <v>Сугралиева Арина (Политех)</v>
      </c>
      <c r="C7" s="233"/>
      <c r="D7" s="220"/>
      <c r="E7" s="221"/>
      <c r="F7" s="221"/>
      <c r="G7" s="221"/>
      <c r="H7" s="222"/>
      <c r="I7" s="223">
        <f>(SUM(D7:H7)-MIN(D7:H7)-MAX(D7:H7))</f>
        <v>0</v>
      </c>
      <c r="J7" s="233"/>
      <c r="K7" s="220"/>
      <c r="L7" s="221"/>
      <c r="M7" s="221"/>
      <c r="N7" s="221"/>
      <c r="O7" s="222"/>
      <c r="P7" s="223">
        <f>(SUM(K7:O7)-MIN(K7:O7)-MAX(K7:O7))</f>
        <v>0</v>
      </c>
      <c r="Q7" s="237"/>
      <c r="R7" s="220"/>
      <c r="S7" s="221"/>
      <c r="T7" s="221"/>
      <c r="U7" s="221"/>
      <c r="V7" s="222"/>
      <c r="W7" s="223">
        <f>(SUM(R7:V7)-MIN(R7:V7)-MAX(R7:V7))</f>
        <v>0</v>
      </c>
      <c r="X7" s="474"/>
      <c r="Y7" s="333"/>
      <c r="Z7" s="340"/>
      <c r="AA7" s="27"/>
      <c r="AB7" s="347"/>
    </row>
    <row r="8" spans="1:28" ht="20.149999999999999" customHeight="1">
      <c r="A8" s="215">
        <v>2</v>
      </c>
      <c r="B8" s="470" t="str">
        <f>CONCATENATE(VLOOKUP('ОК-КАТА по баллам'!A8,Регистрация!$B$7:$N$71,3,FALSE)," ",VLOOKUP('ОК-КАТА по баллам'!A8,Регистрация!$B$7:$N$71,4,FALSE)," (",VLOOKUP('ОК-КАТА по баллам'!A8,Регистрация!$B$7:$N$71,11,FALSE),")")</f>
        <v>Хохлова Элина (WSKF)</v>
      </c>
      <c r="C8" s="234"/>
      <c r="D8" s="218"/>
      <c r="E8" s="206"/>
      <c r="F8" s="206"/>
      <c r="G8" s="206"/>
      <c r="H8" s="219"/>
      <c r="I8" s="223">
        <f t="shared" ref="I8:I70" si="0">(SUM(D8:H8)-MIN(D8:H8)-MAX(D8:H8))</f>
        <v>0</v>
      </c>
      <c r="J8" s="234"/>
      <c r="K8" s="218"/>
      <c r="L8" s="206"/>
      <c r="M8" s="206"/>
      <c r="N8" s="206"/>
      <c r="O8" s="219"/>
      <c r="P8" s="223">
        <f t="shared" ref="P8:P70" si="1">(SUM(K8:O8)-MIN(K8:O8)-MAX(K8:O8))</f>
        <v>0</v>
      </c>
      <c r="Q8" s="235"/>
      <c r="R8" s="218"/>
      <c r="S8" s="206"/>
      <c r="T8" s="206"/>
      <c r="U8" s="206"/>
      <c r="V8" s="219"/>
      <c r="W8" s="223">
        <f t="shared" ref="W8:W70" si="2">(SUM(R8:V8)-MIN(R8:V8)-MAX(R8:V8))</f>
        <v>0</v>
      </c>
      <c r="X8" s="475"/>
      <c r="Y8" s="333"/>
      <c r="Z8" s="340"/>
      <c r="AA8" s="27"/>
      <c r="AB8" s="347"/>
    </row>
    <row r="9" spans="1:28" ht="20.149999999999999" customHeight="1">
      <c r="A9" s="215">
        <v>3</v>
      </c>
      <c r="B9" s="470" t="str">
        <f>CONCATENATE(VLOOKUP('ОК-КАТА по баллам'!A9,Регистрация!$B$7:$N$71,3,FALSE)," ",VLOOKUP('ОК-КАТА по баллам'!A9,Регистрация!$B$7:$N$71,4,FALSE)," (",VLOOKUP('ОК-КАТА по баллам'!A9,Регистрация!$B$7:$N$71,11,FALSE),")")</f>
        <v>Паранина Полина (Политех)</v>
      </c>
      <c r="C9" s="234"/>
      <c r="D9" s="218"/>
      <c r="E9" s="206"/>
      <c r="F9" s="206"/>
      <c r="G9" s="206"/>
      <c r="H9" s="219"/>
      <c r="I9" s="223">
        <f t="shared" si="0"/>
        <v>0</v>
      </c>
      <c r="J9" s="234"/>
      <c r="K9" s="218"/>
      <c r="L9" s="206"/>
      <c r="M9" s="206"/>
      <c r="N9" s="206"/>
      <c r="O9" s="219"/>
      <c r="P9" s="223">
        <f t="shared" si="1"/>
        <v>0</v>
      </c>
      <c r="Q9" s="234"/>
      <c r="R9" s="218"/>
      <c r="S9" s="206"/>
      <c r="T9" s="206"/>
      <c r="U9" s="206"/>
      <c r="V9" s="219"/>
      <c r="W9" s="223">
        <f t="shared" si="2"/>
        <v>0</v>
      </c>
      <c r="X9" s="475"/>
      <c r="Y9" s="333"/>
      <c r="Z9" s="340"/>
      <c r="AA9" s="27"/>
      <c r="AB9" s="347"/>
    </row>
    <row r="10" spans="1:28" ht="20.149999999999999" customHeight="1">
      <c r="A10" s="215">
        <v>4</v>
      </c>
      <c r="B10" s="470" t="str">
        <f>CONCATENATE(VLOOKUP('ОК-КАТА по баллам'!A10,Регистрация!$B$7:$N$71,3,FALSE)," ",VLOOKUP('ОК-КАТА по баллам'!A10,Регистрация!$B$7:$N$71,4,FALSE)," (",VLOOKUP('ОК-КАТА по баллам'!A10,Регистрация!$B$7:$N$71,11,FALSE),")")</f>
        <v>Шайдулина Алина (Политех)</v>
      </c>
      <c r="C10" s="234"/>
      <c r="D10" s="218"/>
      <c r="E10" s="206"/>
      <c r="F10" s="206"/>
      <c r="G10" s="206"/>
      <c r="H10" s="219"/>
      <c r="I10" s="223">
        <f t="shared" si="0"/>
        <v>0</v>
      </c>
      <c r="J10" s="235"/>
      <c r="K10" s="218"/>
      <c r="L10" s="206"/>
      <c r="M10" s="206"/>
      <c r="N10" s="206"/>
      <c r="O10" s="219"/>
      <c r="P10" s="223">
        <f t="shared" si="1"/>
        <v>0</v>
      </c>
      <c r="Q10" s="235"/>
      <c r="R10" s="218"/>
      <c r="S10" s="206"/>
      <c r="T10" s="206"/>
      <c r="U10" s="206"/>
      <c r="V10" s="219"/>
      <c r="W10" s="223">
        <f t="shared" si="2"/>
        <v>0</v>
      </c>
      <c r="X10" s="475"/>
      <c r="Y10" s="333"/>
      <c r="Z10" s="340"/>
      <c r="AA10" s="27"/>
      <c r="AB10" s="347"/>
    </row>
    <row r="11" spans="1:28" ht="20.149999999999999" customHeight="1">
      <c r="A11" s="215">
        <v>5</v>
      </c>
      <c r="B11" s="470" t="str">
        <f>CONCATENATE(VLOOKUP('ОК-КАТА по баллам'!A11,Регистрация!$B$7:$N$71,3,FALSE)," ",VLOOKUP('ОК-КАТА по баллам'!A11,Регистрация!$B$7:$N$71,4,FALSE)," (",VLOOKUP('ОК-КАТА по баллам'!A11,Регистрация!$B$7:$N$71,11,FALSE),")")</f>
        <v>Носкова Александра (Политех)</v>
      </c>
      <c r="C11" s="234"/>
      <c r="D11" s="218"/>
      <c r="E11" s="206"/>
      <c r="F11" s="206"/>
      <c r="G11" s="206"/>
      <c r="H11" s="219"/>
      <c r="I11" s="223">
        <f t="shared" si="0"/>
        <v>0</v>
      </c>
      <c r="J11" s="234"/>
      <c r="K11" s="218"/>
      <c r="L11" s="206"/>
      <c r="M11" s="206"/>
      <c r="N11" s="206"/>
      <c r="O11" s="219"/>
      <c r="P11" s="223">
        <f t="shared" si="1"/>
        <v>0</v>
      </c>
      <c r="Q11" s="234"/>
      <c r="R11" s="218"/>
      <c r="S11" s="206"/>
      <c r="T11" s="206"/>
      <c r="U11" s="206"/>
      <c r="V11" s="219"/>
      <c r="W11" s="223">
        <f t="shared" si="2"/>
        <v>0</v>
      </c>
      <c r="X11" s="475"/>
      <c r="Y11" s="333"/>
      <c r="Z11" s="340"/>
      <c r="AA11" s="27"/>
      <c r="AB11" s="347"/>
    </row>
    <row r="12" spans="1:28" ht="20.149999999999999" customHeight="1">
      <c r="A12" s="215">
        <v>6</v>
      </c>
      <c r="B12" s="470" t="str">
        <f>CONCATENATE(VLOOKUP('ОК-КАТА по баллам'!A12,Регистрация!$B$7:$N$71,3,FALSE)," ",VLOOKUP('ОК-КАТА по баллам'!A12,Регистрация!$B$7:$N$71,4,FALSE)," (",VLOOKUP('ОК-КАТА по баллам'!A12,Регистрация!$B$7:$N$71,11,FALSE),")")</f>
        <v>Павлова Мария (Политех)</v>
      </c>
      <c r="C12" s="234"/>
      <c r="D12" s="218"/>
      <c r="E12" s="206"/>
      <c r="F12" s="206"/>
      <c r="G12" s="206"/>
      <c r="H12" s="219"/>
      <c r="I12" s="223">
        <f t="shared" si="0"/>
        <v>0</v>
      </c>
      <c r="J12" s="235"/>
      <c r="K12" s="218"/>
      <c r="L12" s="206"/>
      <c r="M12" s="206"/>
      <c r="N12" s="206"/>
      <c r="O12" s="219"/>
      <c r="P12" s="223">
        <f t="shared" si="1"/>
        <v>0</v>
      </c>
      <c r="Q12" s="235"/>
      <c r="R12" s="218"/>
      <c r="S12" s="206"/>
      <c r="T12" s="206"/>
      <c r="U12" s="206"/>
      <c r="V12" s="219"/>
      <c r="W12" s="223">
        <f t="shared" si="2"/>
        <v>0</v>
      </c>
      <c r="X12" s="475"/>
      <c r="Y12" s="333"/>
      <c r="Z12" s="340"/>
      <c r="AA12" s="27"/>
      <c r="AB12" s="347"/>
    </row>
    <row r="13" spans="1:28" ht="20.149999999999999" customHeight="1">
      <c r="A13" s="215">
        <v>7</v>
      </c>
      <c r="B13" s="470" t="str">
        <f>CONCATENATE(VLOOKUP('ОК-КАТА по баллам'!A13,Регистрация!$B$7:$N$71,3,FALSE)," ",VLOOKUP('ОК-КАТА по баллам'!A13,Регистрация!$B$7:$N$71,4,FALSE)," (",VLOOKUP('ОК-КАТА по баллам'!A13,Регистрация!$B$7:$N$71,11,FALSE),")")</f>
        <v xml:space="preserve">  ()</v>
      </c>
      <c r="C13" s="234"/>
      <c r="D13" s="218"/>
      <c r="E13" s="206"/>
      <c r="F13" s="206"/>
      <c r="G13" s="206"/>
      <c r="H13" s="219"/>
      <c r="I13" s="223">
        <f t="shared" si="0"/>
        <v>0</v>
      </c>
      <c r="J13" s="235"/>
      <c r="K13" s="218"/>
      <c r="L13" s="206"/>
      <c r="M13" s="206"/>
      <c r="N13" s="206"/>
      <c r="O13" s="219"/>
      <c r="P13" s="223">
        <f t="shared" si="1"/>
        <v>0</v>
      </c>
      <c r="Q13" s="235"/>
      <c r="R13" s="218"/>
      <c r="S13" s="206"/>
      <c r="T13" s="206"/>
      <c r="U13" s="206"/>
      <c r="V13" s="219"/>
      <c r="W13" s="223">
        <f t="shared" si="2"/>
        <v>0</v>
      </c>
      <c r="X13" s="475"/>
      <c r="Y13" s="333"/>
      <c r="Z13" s="340"/>
      <c r="AA13" s="27"/>
      <c r="AB13" s="347"/>
    </row>
    <row r="14" spans="1:28" ht="20.149999999999999" customHeight="1">
      <c r="A14" s="215">
        <v>8</v>
      </c>
      <c r="B14" s="470" t="str">
        <f>CONCATENATE(VLOOKUP('ОК-КАТА по баллам'!A14,Регистрация!$B$7:$N$71,3,FALSE)," ",VLOOKUP('ОК-КАТА по баллам'!A14,Регистрация!$B$7:$N$71,4,FALSE)," (",VLOOKUP('ОК-КАТА по баллам'!A14,Регистрация!$B$7:$N$71,11,FALSE),")")</f>
        <v xml:space="preserve">  ()</v>
      </c>
      <c r="C14" s="234"/>
      <c r="D14" s="218"/>
      <c r="E14" s="206"/>
      <c r="F14" s="206"/>
      <c r="G14" s="206"/>
      <c r="H14" s="219"/>
      <c r="I14" s="223">
        <f t="shared" si="0"/>
        <v>0</v>
      </c>
      <c r="J14" s="234"/>
      <c r="K14" s="218"/>
      <c r="L14" s="206"/>
      <c r="M14" s="206"/>
      <c r="N14" s="206"/>
      <c r="O14" s="219"/>
      <c r="P14" s="223">
        <f t="shared" si="1"/>
        <v>0</v>
      </c>
      <c r="Q14" s="235"/>
      <c r="R14" s="218"/>
      <c r="S14" s="206"/>
      <c r="T14" s="206"/>
      <c r="U14" s="206"/>
      <c r="V14" s="219"/>
      <c r="W14" s="223">
        <f t="shared" si="2"/>
        <v>0</v>
      </c>
      <c r="X14" s="475"/>
      <c r="Y14" s="333"/>
      <c r="Z14" s="340"/>
      <c r="AA14" s="27"/>
      <c r="AB14" s="347"/>
    </row>
    <row r="15" spans="1:28" ht="11.15" hidden="1" customHeight="1">
      <c r="A15" s="215">
        <v>9</v>
      </c>
      <c r="B15" s="204" t="str">
        <f>CONCATENATE(VLOOKUP('ОК-КАТА по баллам'!A15,Регистрация!$B$7:$N$71,3,FALSE)," ",VLOOKUP('ОК-КАТА по баллам'!A15,Регистрация!$B$7:$N$71,4,FALSE)," (",VLOOKUP('ОК-КАТА по баллам'!A15,Регистрация!$B$7:$N$71,11,FALSE),")")</f>
        <v xml:space="preserve">  ()</v>
      </c>
      <c r="C15" s="234"/>
      <c r="D15" s="218"/>
      <c r="E15" s="206"/>
      <c r="F15" s="206"/>
      <c r="G15" s="206"/>
      <c r="H15" s="219"/>
      <c r="I15" s="223">
        <f t="shared" si="0"/>
        <v>0</v>
      </c>
      <c r="J15" s="234"/>
      <c r="K15" s="218"/>
      <c r="L15" s="206"/>
      <c r="M15" s="206"/>
      <c r="N15" s="206"/>
      <c r="O15" s="219"/>
      <c r="P15" s="223">
        <f t="shared" si="1"/>
        <v>0</v>
      </c>
      <c r="Q15" s="234"/>
      <c r="R15" s="218"/>
      <c r="S15" s="206"/>
      <c r="T15" s="206"/>
      <c r="U15" s="206"/>
      <c r="V15" s="219"/>
      <c r="W15" s="223">
        <f t="shared" si="2"/>
        <v>0</v>
      </c>
      <c r="X15" s="475"/>
      <c r="Y15" s="333"/>
      <c r="Z15" s="340"/>
      <c r="AA15" s="27"/>
      <c r="AB15" s="347"/>
    </row>
    <row r="16" spans="1:28" ht="11.15" hidden="1" customHeight="1">
      <c r="A16" s="215">
        <v>10</v>
      </c>
      <c r="B16" s="204" t="str">
        <f>CONCATENATE(VLOOKUP('ОК-КАТА по баллам'!A16,Регистрация!$B$7:$N$71,3,FALSE)," ",VLOOKUP('ОК-КАТА по баллам'!A16,Регистрация!$B$7:$N$71,4,FALSE)," (",VLOOKUP('ОК-КАТА по баллам'!A16,Регистрация!$B$7:$N$71,11,FALSE),")")</f>
        <v xml:space="preserve">  ()</v>
      </c>
      <c r="C16" s="234"/>
      <c r="D16" s="218"/>
      <c r="E16" s="206"/>
      <c r="F16" s="206"/>
      <c r="G16" s="206"/>
      <c r="H16" s="219"/>
      <c r="I16" s="223">
        <f t="shared" si="0"/>
        <v>0</v>
      </c>
      <c r="J16" s="235"/>
      <c r="K16" s="218"/>
      <c r="L16" s="206"/>
      <c r="M16" s="206"/>
      <c r="N16" s="206"/>
      <c r="O16" s="219"/>
      <c r="P16" s="223">
        <f t="shared" si="1"/>
        <v>0</v>
      </c>
      <c r="Q16" s="235"/>
      <c r="R16" s="218"/>
      <c r="S16" s="206"/>
      <c r="T16" s="206"/>
      <c r="U16" s="206"/>
      <c r="V16" s="219"/>
      <c r="W16" s="223">
        <f t="shared" si="2"/>
        <v>0</v>
      </c>
      <c r="X16" s="475"/>
      <c r="Y16" s="333"/>
      <c r="Z16" s="340"/>
      <c r="AA16" s="27"/>
      <c r="AB16" s="347"/>
    </row>
    <row r="17" spans="1:28" ht="11.15" hidden="1" customHeight="1">
      <c r="A17" s="215">
        <v>11</v>
      </c>
      <c r="B17" s="204" t="str">
        <f>CONCATENATE(VLOOKUP('ОК-КАТА по баллам'!A17,Регистрация!$B$7:$N$71,3,FALSE)," ",VLOOKUP('ОК-КАТА по баллам'!A17,Регистрация!$B$7:$N$71,4,FALSE)," (",VLOOKUP('ОК-КАТА по баллам'!A17,Регистрация!$B$7:$N$71,11,FALSE),")")</f>
        <v xml:space="preserve">  ()</v>
      </c>
      <c r="C17" s="234"/>
      <c r="D17" s="218"/>
      <c r="E17" s="206"/>
      <c r="F17" s="206"/>
      <c r="G17" s="206"/>
      <c r="H17" s="219"/>
      <c r="I17" s="223">
        <f t="shared" si="0"/>
        <v>0</v>
      </c>
      <c r="J17" s="234"/>
      <c r="K17" s="218"/>
      <c r="L17" s="206"/>
      <c r="M17" s="206"/>
      <c r="N17" s="206"/>
      <c r="O17" s="219"/>
      <c r="P17" s="223">
        <f t="shared" si="1"/>
        <v>0</v>
      </c>
      <c r="Q17" s="235"/>
      <c r="R17" s="218"/>
      <c r="S17" s="206"/>
      <c r="T17" s="206"/>
      <c r="U17" s="206"/>
      <c r="V17" s="219"/>
      <c r="W17" s="223">
        <f t="shared" si="2"/>
        <v>0</v>
      </c>
      <c r="X17" s="475"/>
      <c r="Y17" s="333"/>
      <c r="Z17" s="340"/>
      <c r="AA17" s="27"/>
      <c r="AB17" s="347"/>
    </row>
    <row r="18" spans="1:28" ht="11.15" hidden="1" customHeight="1">
      <c r="A18" s="215">
        <v>12</v>
      </c>
      <c r="B18" s="204" t="str">
        <f>CONCATENATE(VLOOKUP('ОК-КАТА по баллам'!A18,Регистрация!$B$7:$N$71,3,FALSE)," ",VLOOKUP('ОК-КАТА по баллам'!A18,Регистрация!$B$7:$N$71,4,FALSE)," (",VLOOKUP('ОК-КАТА по баллам'!A18,Регистрация!$B$7:$N$71,11,FALSE),")")</f>
        <v xml:space="preserve">  ()</v>
      </c>
      <c r="C18" s="234"/>
      <c r="D18" s="218"/>
      <c r="E18" s="206"/>
      <c r="F18" s="206"/>
      <c r="G18" s="206"/>
      <c r="H18" s="219"/>
      <c r="I18" s="223">
        <f t="shared" si="0"/>
        <v>0</v>
      </c>
      <c r="J18" s="234"/>
      <c r="K18" s="218"/>
      <c r="L18" s="206"/>
      <c r="M18" s="206"/>
      <c r="N18" s="206"/>
      <c r="O18" s="219"/>
      <c r="P18" s="223">
        <f t="shared" si="1"/>
        <v>0</v>
      </c>
      <c r="Q18" s="234"/>
      <c r="R18" s="218"/>
      <c r="S18" s="206"/>
      <c r="T18" s="206"/>
      <c r="U18" s="206"/>
      <c r="V18" s="219"/>
      <c r="W18" s="223">
        <f t="shared" si="2"/>
        <v>0</v>
      </c>
      <c r="X18" s="475"/>
      <c r="Y18" s="333"/>
      <c r="Z18" s="340"/>
      <c r="AA18" s="27"/>
      <c r="AB18" s="347"/>
    </row>
    <row r="19" spans="1:28" ht="11.15" hidden="1" customHeight="1">
      <c r="A19" s="215">
        <v>13</v>
      </c>
      <c r="B19" s="204" t="str">
        <f>CONCATENATE(VLOOKUP('ОК-КАТА по баллам'!A19,Регистрация!$B$7:$N$71,3,FALSE)," ",VLOOKUP('ОК-КАТА по баллам'!A19,Регистрация!$B$7:$N$71,4,FALSE)," (",VLOOKUP('ОК-КАТА по баллам'!A19,Регистрация!$B$7:$N$71,11,FALSE),")")</f>
        <v xml:space="preserve">  ()</v>
      </c>
      <c r="C19" s="234"/>
      <c r="D19" s="218"/>
      <c r="E19" s="206"/>
      <c r="F19" s="206"/>
      <c r="G19" s="206"/>
      <c r="H19" s="219"/>
      <c r="I19" s="223">
        <f t="shared" si="0"/>
        <v>0</v>
      </c>
      <c r="J19" s="235"/>
      <c r="K19" s="218"/>
      <c r="L19" s="206"/>
      <c r="M19" s="206"/>
      <c r="N19" s="206"/>
      <c r="O19" s="219"/>
      <c r="P19" s="223">
        <f t="shared" si="1"/>
        <v>0</v>
      </c>
      <c r="Q19" s="235"/>
      <c r="R19" s="218"/>
      <c r="S19" s="206"/>
      <c r="T19" s="206"/>
      <c r="U19" s="206"/>
      <c r="V19" s="219"/>
      <c r="W19" s="223">
        <f t="shared" si="2"/>
        <v>0</v>
      </c>
      <c r="X19" s="475"/>
      <c r="Y19" s="333"/>
      <c r="Z19" s="340"/>
      <c r="AA19" s="27"/>
      <c r="AB19" s="347"/>
    </row>
    <row r="20" spans="1:28" ht="11.15" hidden="1" customHeight="1">
      <c r="A20" s="215">
        <v>14</v>
      </c>
      <c r="B20" s="204" t="str">
        <f>CONCATENATE(VLOOKUP('ОК-КАТА по баллам'!A20,Регистрация!$B$7:$N$71,3,FALSE)," ",VLOOKUP('ОК-КАТА по баллам'!A20,Регистрация!$B$7:$N$71,4,FALSE)," (",VLOOKUP('ОК-КАТА по баллам'!A20,Регистрация!$B$7:$N$71,11,FALSE),")")</f>
        <v xml:space="preserve">  ()</v>
      </c>
      <c r="C20" s="235"/>
      <c r="D20" s="218"/>
      <c r="E20" s="206"/>
      <c r="F20" s="206"/>
      <c r="G20" s="206"/>
      <c r="H20" s="219"/>
      <c r="I20" s="223">
        <f t="shared" si="0"/>
        <v>0</v>
      </c>
      <c r="J20" s="235"/>
      <c r="K20" s="218"/>
      <c r="L20" s="206"/>
      <c r="M20" s="206"/>
      <c r="N20" s="206"/>
      <c r="O20" s="219"/>
      <c r="P20" s="223">
        <f t="shared" si="1"/>
        <v>0</v>
      </c>
      <c r="Q20" s="235"/>
      <c r="R20" s="218"/>
      <c r="S20" s="206"/>
      <c r="T20" s="206"/>
      <c r="U20" s="206"/>
      <c r="V20" s="219"/>
      <c r="W20" s="223">
        <f t="shared" si="2"/>
        <v>0</v>
      </c>
      <c r="X20" s="475"/>
      <c r="Y20" s="333"/>
      <c r="Z20" s="30"/>
      <c r="AA20" s="27"/>
      <c r="AB20" s="347"/>
    </row>
    <row r="21" spans="1:28" ht="11.15" hidden="1" customHeight="1">
      <c r="A21" s="215">
        <v>15</v>
      </c>
      <c r="B21" s="204" t="str">
        <f>CONCATENATE(VLOOKUP('ОК-КАТА по баллам'!A21,Регистрация!$B$7:$N$71,3,FALSE)," ",VLOOKUP('ОК-КАТА по баллам'!A21,Регистрация!$B$7:$N$71,4,FALSE)," (",VLOOKUP('ОК-КАТА по баллам'!A21,Регистрация!$B$7:$N$71,11,FALSE),")")</f>
        <v xml:space="preserve">  ()</v>
      </c>
      <c r="C21" s="235"/>
      <c r="D21" s="218"/>
      <c r="E21" s="206"/>
      <c r="F21" s="206"/>
      <c r="G21" s="206"/>
      <c r="H21" s="219"/>
      <c r="I21" s="223">
        <f t="shared" si="0"/>
        <v>0</v>
      </c>
      <c r="J21" s="235"/>
      <c r="K21" s="218"/>
      <c r="L21" s="206"/>
      <c r="M21" s="206"/>
      <c r="N21" s="206"/>
      <c r="O21" s="219"/>
      <c r="P21" s="223">
        <f t="shared" si="1"/>
        <v>0</v>
      </c>
      <c r="Q21" s="235"/>
      <c r="R21" s="218"/>
      <c r="S21" s="206"/>
      <c r="T21" s="206"/>
      <c r="U21" s="206"/>
      <c r="V21" s="219"/>
      <c r="W21" s="223">
        <f t="shared" si="2"/>
        <v>0</v>
      </c>
      <c r="X21" s="475"/>
      <c r="Y21" s="333"/>
      <c r="Z21" s="30"/>
      <c r="AA21" s="27"/>
      <c r="AB21" s="347"/>
    </row>
    <row r="22" spans="1:28" ht="11.15" hidden="1" customHeight="1">
      <c r="A22" s="215">
        <v>16</v>
      </c>
      <c r="B22" s="204" t="str">
        <f>CONCATENATE(VLOOKUP('ОК-КАТА по баллам'!A22,Регистрация!$B$7:$N$71,3,FALSE)," ",VLOOKUP('ОК-КАТА по баллам'!A22,Регистрация!$B$7:$N$71,4,FALSE)," (",VLOOKUP('ОК-КАТА по баллам'!A22,Регистрация!$B$7:$N$71,11,FALSE),")")</f>
        <v xml:space="preserve">  ()</v>
      </c>
      <c r="C22" s="235"/>
      <c r="D22" s="218"/>
      <c r="E22" s="206"/>
      <c r="F22" s="206"/>
      <c r="G22" s="206"/>
      <c r="H22" s="219"/>
      <c r="I22" s="223">
        <f t="shared" si="0"/>
        <v>0</v>
      </c>
      <c r="J22" s="235"/>
      <c r="K22" s="218"/>
      <c r="L22" s="206"/>
      <c r="M22" s="206"/>
      <c r="N22" s="206"/>
      <c r="O22" s="219"/>
      <c r="P22" s="223">
        <f t="shared" si="1"/>
        <v>0</v>
      </c>
      <c r="Q22" s="235"/>
      <c r="R22" s="218"/>
      <c r="S22" s="206"/>
      <c r="T22" s="206"/>
      <c r="U22" s="206"/>
      <c r="V22" s="219"/>
      <c r="W22" s="223">
        <f t="shared" si="2"/>
        <v>0</v>
      </c>
      <c r="X22" s="475"/>
      <c r="Y22" s="348"/>
      <c r="Z22" s="30"/>
      <c r="AA22" s="27"/>
      <c r="AB22" s="347"/>
    </row>
    <row r="23" spans="1:28" ht="11.15" hidden="1" customHeight="1">
      <c r="A23" s="215">
        <v>17</v>
      </c>
      <c r="B23" s="204" t="str">
        <f>CONCATENATE(VLOOKUP('ОК-КАТА по баллам'!A23,Регистрация!$B$7:$N$71,3,FALSE)," ",VLOOKUP('ОК-КАТА по баллам'!A23,Регистрация!$B$7:$N$71,4,FALSE)," (",VLOOKUP('ОК-КАТА по баллам'!A23,Регистрация!$B$7:$N$71,11,FALSE),")")</f>
        <v xml:space="preserve">  ()</v>
      </c>
      <c r="C23" s="235"/>
      <c r="D23" s="218"/>
      <c r="E23" s="206"/>
      <c r="F23" s="206"/>
      <c r="G23" s="206"/>
      <c r="H23" s="219"/>
      <c r="I23" s="223">
        <f t="shared" si="0"/>
        <v>0</v>
      </c>
      <c r="J23" s="235"/>
      <c r="K23" s="218"/>
      <c r="L23" s="206"/>
      <c r="M23" s="206"/>
      <c r="N23" s="206"/>
      <c r="O23" s="219"/>
      <c r="P23" s="223">
        <f t="shared" si="1"/>
        <v>0</v>
      </c>
      <c r="Q23" s="235"/>
      <c r="R23" s="218"/>
      <c r="S23" s="206"/>
      <c r="T23" s="206"/>
      <c r="U23" s="206"/>
      <c r="V23" s="219"/>
      <c r="W23" s="223">
        <f t="shared" si="2"/>
        <v>0</v>
      </c>
      <c r="X23" s="475"/>
      <c r="Y23" s="348"/>
      <c r="Z23" s="30"/>
      <c r="AA23" s="27"/>
      <c r="AB23" s="347"/>
    </row>
    <row r="24" spans="1:28" ht="11.15" hidden="1" customHeight="1">
      <c r="A24" s="215">
        <v>18</v>
      </c>
      <c r="B24" s="204" t="str">
        <f>CONCATENATE(VLOOKUP('ОК-КАТА по баллам'!A24,Регистрация!$B$7:$N$71,3,FALSE)," ",VLOOKUP('ОК-КАТА по баллам'!A24,Регистрация!$B$7:$N$71,4,FALSE)," (",VLOOKUP('ОК-КАТА по баллам'!A24,Регистрация!$B$7:$N$71,11,FALSE),")")</f>
        <v xml:space="preserve">  ()</v>
      </c>
      <c r="C24" s="235"/>
      <c r="D24" s="218"/>
      <c r="E24" s="206"/>
      <c r="F24" s="206"/>
      <c r="G24" s="206"/>
      <c r="H24" s="219"/>
      <c r="I24" s="223">
        <f t="shared" si="0"/>
        <v>0</v>
      </c>
      <c r="J24" s="235"/>
      <c r="K24" s="218"/>
      <c r="L24" s="206"/>
      <c r="M24" s="206"/>
      <c r="N24" s="206"/>
      <c r="O24" s="219"/>
      <c r="P24" s="223">
        <f t="shared" si="1"/>
        <v>0</v>
      </c>
      <c r="Q24" s="235"/>
      <c r="R24" s="218"/>
      <c r="S24" s="206"/>
      <c r="T24" s="206"/>
      <c r="U24" s="206"/>
      <c r="V24" s="219"/>
      <c r="W24" s="223">
        <f t="shared" si="2"/>
        <v>0</v>
      </c>
      <c r="X24" s="475"/>
      <c r="Y24" s="348"/>
      <c r="Z24" s="30"/>
      <c r="AA24" s="27"/>
      <c r="AB24" s="347"/>
    </row>
    <row r="25" spans="1:28" ht="11.15" hidden="1" customHeight="1">
      <c r="A25" s="215">
        <v>19</v>
      </c>
      <c r="B25" s="204" t="str">
        <f>CONCATENATE(VLOOKUP('ОК-КАТА по баллам'!A25,Регистрация!$B$7:$N$71,3,FALSE)," ",VLOOKUP('ОК-КАТА по баллам'!A25,Регистрация!$B$7:$N$71,4,FALSE)," (",VLOOKUP('ОК-КАТА по баллам'!A25,Регистрация!$B$7:$N$71,11,FALSE),")")</f>
        <v xml:space="preserve">  ()</v>
      </c>
      <c r="C25" s="235"/>
      <c r="D25" s="218"/>
      <c r="E25" s="206"/>
      <c r="F25" s="206"/>
      <c r="G25" s="206"/>
      <c r="H25" s="219"/>
      <c r="I25" s="223">
        <f t="shared" si="0"/>
        <v>0</v>
      </c>
      <c r="J25" s="235"/>
      <c r="K25" s="218"/>
      <c r="L25" s="206"/>
      <c r="M25" s="206"/>
      <c r="N25" s="206"/>
      <c r="O25" s="219"/>
      <c r="P25" s="223">
        <f t="shared" si="1"/>
        <v>0</v>
      </c>
      <c r="Q25" s="235"/>
      <c r="R25" s="218"/>
      <c r="S25" s="206"/>
      <c r="T25" s="206"/>
      <c r="U25" s="206"/>
      <c r="V25" s="219"/>
      <c r="W25" s="223">
        <f t="shared" si="2"/>
        <v>0</v>
      </c>
      <c r="X25" s="475"/>
      <c r="Y25" s="333"/>
      <c r="Z25" s="30"/>
      <c r="AA25" s="27"/>
      <c r="AB25" s="347"/>
    </row>
    <row r="26" spans="1:28" ht="11.15" hidden="1" customHeight="1">
      <c r="A26" s="215">
        <v>20</v>
      </c>
      <c r="B26" s="204" t="str">
        <f>CONCATENATE(VLOOKUP('ОК-КАТА по баллам'!A26,Регистрация!$B$7:$N$71,3,FALSE)," ",VLOOKUP('ОК-КАТА по баллам'!A26,Регистрация!$B$7:$N$71,4,FALSE)," (",VLOOKUP('ОК-КАТА по баллам'!A26,Регистрация!$B$7:$N$71,11,FALSE),")")</f>
        <v xml:space="preserve">  ()</v>
      </c>
      <c r="C26" s="235"/>
      <c r="D26" s="218"/>
      <c r="E26" s="206"/>
      <c r="F26" s="206"/>
      <c r="G26" s="206"/>
      <c r="H26" s="219"/>
      <c r="I26" s="223">
        <f t="shared" si="0"/>
        <v>0</v>
      </c>
      <c r="J26" s="235"/>
      <c r="K26" s="218"/>
      <c r="L26" s="206"/>
      <c r="M26" s="206"/>
      <c r="N26" s="206"/>
      <c r="O26" s="219"/>
      <c r="P26" s="223">
        <f t="shared" si="1"/>
        <v>0</v>
      </c>
      <c r="Q26" s="235"/>
      <c r="R26" s="218"/>
      <c r="S26" s="206"/>
      <c r="T26" s="206"/>
      <c r="U26" s="206"/>
      <c r="V26" s="219"/>
      <c r="W26" s="223">
        <f t="shared" si="2"/>
        <v>0</v>
      </c>
      <c r="X26" s="475"/>
      <c r="Y26" s="333"/>
      <c r="Z26" s="30"/>
      <c r="AA26" s="27"/>
      <c r="AB26" s="347"/>
    </row>
    <row r="27" spans="1:28" ht="11.15" hidden="1" customHeight="1">
      <c r="A27" s="215">
        <v>21</v>
      </c>
      <c r="B27" s="204" t="str">
        <f>CONCATENATE(VLOOKUP('ОК-КАТА по баллам'!A27,Регистрация!$B$7:$N$71,3,FALSE)," ",VLOOKUP('ОК-КАТА по баллам'!A27,Регистрация!$B$7:$N$71,4,FALSE)," (",VLOOKUP('ОК-КАТА по баллам'!A27,Регистрация!$B$7:$N$71,11,FALSE),")")</f>
        <v xml:space="preserve">  ()</v>
      </c>
      <c r="C27" s="235"/>
      <c r="D27" s="218"/>
      <c r="E27" s="206"/>
      <c r="F27" s="206"/>
      <c r="G27" s="206"/>
      <c r="H27" s="219"/>
      <c r="I27" s="223">
        <f t="shared" si="0"/>
        <v>0</v>
      </c>
      <c r="J27" s="235"/>
      <c r="K27" s="218"/>
      <c r="L27" s="206"/>
      <c r="M27" s="206"/>
      <c r="N27" s="206"/>
      <c r="O27" s="219"/>
      <c r="P27" s="223">
        <f t="shared" si="1"/>
        <v>0</v>
      </c>
      <c r="Q27" s="235"/>
      <c r="R27" s="218"/>
      <c r="S27" s="206"/>
      <c r="T27" s="206"/>
      <c r="U27" s="206"/>
      <c r="V27" s="219"/>
      <c r="W27" s="223">
        <f t="shared" si="2"/>
        <v>0</v>
      </c>
      <c r="X27" s="475"/>
      <c r="Y27" s="333"/>
      <c r="Z27" s="30"/>
      <c r="AA27" s="27"/>
      <c r="AB27" s="347"/>
    </row>
    <row r="28" spans="1:28" ht="11.15" hidden="1" customHeight="1">
      <c r="A28" s="215">
        <v>22</v>
      </c>
      <c r="B28" s="204" t="str">
        <f>CONCATENATE(VLOOKUP('ОК-КАТА по баллам'!A28,Регистрация!$B$7:$N$71,3,FALSE)," ",VLOOKUP('ОК-КАТА по баллам'!A28,Регистрация!$B$7:$N$71,4,FALSE)," (",VLOOKUP('ОК-КАТА по баллам'!A28,Регистрация!$B$7:$N$71,11,FALSE),")")</f>
        <v xml:space="preserve">  ()</v>
      </c>
      <c r="C28" s="235"/>
      <c r="D28" s="218"/>
      <c r="E28" s="206"/>
      <c r="F28" s="206"/>
      <c r="G28" s="206"/>
      <c r="H28" s="219"/>
      <c r="I28" s="223">
        <f t="shared" si="0"/>
        <v>0</v>
      </c>
      <c r="J28" s="235"/>
      <c r="K28" s="218"/>
      <c r="L28" s="206"/>
      <c r="M28" s="206"/>
      <c r="N28" s="206"/>
      <c r="O28" s="219"/>
      <c r="P28" s="223">
        <f t="shared" si="1"/>
        <v>0</v>
      </c>
      <c r="Q28" s="235"/>
      <c r="R28" s="218"/>
      <c r="S28" s="206"/>
      <c r="T28" s="206"/>
      <c r="U28" s="206"/>
      <c r="V28" s="219"/>
      <c r="W28" s="223">
        <f t="shared" si="2"/>
        <v>0</v>
      </c>
      <c r="X28" s="475"/>
      <c r="Y28" s="333"/>
      <c r="Z28" s="30"/>
      <c r="AA28" s="27"/>
      <c r="AB28" s="347"/>
    </row>
    <row r="29" spans="1:28" ht="11.15" hidden="1" customHeight="1">
      <c r="A29" s="215">
        <v>23</v>
      </c>
      <c r="B29" s="204" t="str">
        <f>CONCATENATE(VLOOKUP('ОК-КАТА по баллам'!A29,Регистрация!$B$7:$N$71,3,FALSE)," ",VLOOKUP('ОК-КАТА по баллам'!A29,Регистрация!$B$7:$N$71,4,FALSE)," (",VLOOKUP('ОК-КАТА по баллам'!A29,Регистрация!$B$7:$N$71,11,FALSE),")")</f>
        <v xml:space="preserve">  ()</v>
      </c>
      <c r="C29" s="235"/>
      <c r="D29" s="218"/>
      <c r="E29" s="206"/>
      <c r="F29" s="206"/>
      <c r="G29" s="206"/>
      <c r="H29" s="219"/>
      <c r="I29" s="223">
        <f t="shared" si="0"/>
        <v>0</v>
      </c>
      <c r="J29" s="235"/>
      <c r="K29" s="218"/>
      <c r="L29" s="206"/>
      <c r="M29" s="206"/>
      <c r="N29" s="206"/>
      <c r="O29" s="219"/>
      <c r="P29" s="223">
        <f t="shared" si="1"/>
        <v>0</v>
      </c>
      <c r="Q29" s="235"/>
      <c r="R29" s="218"/>
      <c r="S29" s="206"/>
      <c r="T29" s="206"/>
      <c r="U29" s="206"/>
      <c r="V29" s="219"/>
      <c r="W29" s="223">
        <f t="shared" si="2"/>
        <v>0</v>
      </c>
      <c r="X29" s="475"/>
      <c r="Y29" s="348"/>
      <c r="Z29" s="30"/>
      <c r="AA29" s="27"/>
      <c r="AB29" s="347"/>
    </row>
    <row r="30" spans="1:28" ht="11.15" hidden="1" customHeight="1">
      <c r="A30" s="215">
        <v>24</v>
      </c>
      <c r="B30" s="204" t="str">
        <f>CONCATENATE(VLOOKUP('ОК-КАТА по баллам'!A30,Регистрация!$B$7:$N$71,3,FALSE)," ",VLOOKUP('ОК-КАТА по баллам'!A30,Регистрация!$B$7:$N$71,4,FALSE)," (",VLOOKUP('ОК-КАТА по баллам'!A30,Регистрация!$B$7:$N$71,11,FALSE),")")</f>
        <v xml:space="preserve">  ()</v>
      </c>
      <c r="C30" s="235"/>
      <c r="D30" s="218"/>
      <c r="E30" s="206"/>
      <c r="F30" s="206"/>
      <c r="G30" s="206"/>
      <c r="H30" s="219"/>
      <c r="I30" s="223">
        <f t="shared" si="0"/>
        <v>0</v>
      </c>
      <c r="J30" s="235"/>
      <c r="K30" s="218"/>
      <c r="L30" s="206"/>
      <c r="M30" s="206"/>
      <c r="N30" s="206"/>
      <c r="O30" s="219"/>
      <c r="P30" s="223">
        <f t="shared" si="1"/>
        <v>0</v>
      </c>
      <c r="Q30" s="235"/>
      <c r="R30" s="218"/>
      <c r="S30" s="206"/>
      <c r="T30" s="206"/>
      <c r="U30" s="206"/>
      <c r="V30" s="219"/>
      <c r="W30" s="223">
        <f t="shared" si="2"/>
        <v>0</v>
      </c>
      <c r="X30" s="475"/>
      <c r="Y30" s="348"/>
      <c r="Z30" s="30"/>
      <c r="AA30" s="27"/>
      <c r="AB30" s="347"/>
    </row>
    <row r="31" spans="1:28" ht="11.15" hidden="1" customHeight="1">
      <c r="A31" s="215">
        <v>25</v>
      </c>
      <c r="B31" s="204" t="str">
        <f>CONCATENATE(VLOOKUP('ОК-КАТА по баллам'!A31,Регистрация!$B$7:$N$71,3,FALSE)," ",VLOOKUP('ОК-КАТА по баллам'!A31,Регистрация!$B$7:$N$71,4,FALSE)," (",VLOOKUP('ОК-КАТА по баллам'!A31,Регистрация!$B$7:$N$71,11,FALSE),")")</f>
        <v xml:space="preserve">  ()</v>
      </c>
      <c r="C31" s="235"/>
      <c r="D31" s="218"/>
      <c r="E31" s="206"/>
      <c r="F31" s="206"/>
      <c r="G31" s="206"/>
      <c r="H31" s="219"/>
      <c r="I31" s="223">
        <f t="shared" si="0"/>
        <v>0</v>
      </c>
      <c r="J31" s="235"/>
      <c r="K31" s="218"/>
      <c r="L31" s="206"/>
      <c r="M31" s="206"/>
      <c r="N31" s="206"/>
      <c r="O31" s="219"/>
      <c r="P31" s="223">
        <f t="shared" si="1"/>
        <v>0</v>
      </c>
      <c r="Q31" s="235"/>
      <c r="R31" s="218"/>
      <c r="S31" s="206"/>
      <c r="T31" s="206"/>
      <c r="U31" s="206"/>
      <c r="V31" s="219"/>
      <c r="W31" s="223">
        <f t="shared" si="2"/>
        <v>0</v>
      </c>
      <c r="X31" s="475"/>
      <c r="Y31" s="348"/>
      <c r="Z31" s="30"/>
      <c r="AA31" s="27"/>
      <c r="AB31" s="347"/>
    </row>
    <row r="32" spans="1:28" ht="11.15" hidden="1" customHeight="1">
      <c r="A32" s="215">
        <v>26</v>
      </c>
      <c r="B32" s="204" t="str">
        <f>CONCATENATE(VLOOKUP('ОК-КАТА по баллам'!A32,Регистрация!$B$7:$N$71,3,FALSE)," ",VLOOKUP('ОК-КАТА по баллам'!A32,Регистрация!$B$7:$N$71,4,FALSE)," (",VLOOKUP('ОК-КАТА по баллам'!A32,Регистрация!$B$7:$N$71,11,FALSE),")")</f>
        <v xml:space="preserve">  ()</v>
      </c>
      <c r="C32" s="235"/>
      <c r="D32" s="218"/>
      <c r="E32" s="206"/>
      <c r="F32" s="206"/>
      <c r="G32" s="206"/>
      <c r="H32" s="219"/>
      <c r="I32" s="223">
        <f t="shared" si="0"/>
        <v>0</v>
      </c>
      <c r="J32" s="235"/>
      <c r="K32" s="218"/>
      <c r="L32" s="206"/>
      <c r="M32" s="206"/>
      <c r="N32" s="206"/>
      <c r="O32" s="219"/>
      <c r="P32" s="223">
        <f t="shared" si="1"/>
        <v>0</v>
      </c>
      <c r="Q32" s="235"/>
      <c r="R32" s="218"/>
      <c r="S32" s="206"/>
      <c r="T32" s="206"/>
      <c r="U32" s="206"/>
      <c r="V32" s="219"/>
      <c r="W32" s="223">
        <f t="shared" si="2"/>
        <v>0</v>
      </c>
      <c r="X32" s="475"/>
      <c r="Y32" s="333"/>
      <c r="Z32" s="30"/>
      <c r="AA32" s="27"/>
      <c r="AB32" s="347"/>
    </row>
    <row r="33" spans="1:28" ht="11.15" hidden="1" customHeight="1">
      <c r="A33" s="215">
        <v>27</v>
      </c>
      <c r="B33" s="204" t="str">
        <f>CONCATENATE(VLOOKUP('ОК-КАТА по баллам'!A33,Регистрация!$B$7:$N$71,3,FALSE)," ",VLOOKUP('ОК-КАТА по баллам'!A33,Регистрация!$B$7:$N$71,4,FALSE)," (",VLOOKUP('ОК-КАТА по баллам'!A33,Регистрация!$B$7:$N$71,11,FALSE),")")</f>
        <v xml:space="preserve">  ()</v>
      </c>
      <c r="C33" s="235"/>
      <c r="D33" s="218"/>
      <c r="E33" s="206"/>
      <c r="F33" s="206"/>
      <c r="G33" s="206"/>
      <c r="H33" s="219"/>
      <c r="I33" s="223">
        <f t="shared" si="0"/>
        <v>0</v>
      </c>
      <c r="J33" s="235"/>
      <c r="K33" s="218"/>
      <c r="L33" s="206"/>
      <c r="M33" s="206"/>
      <c r="N33" s="206"/>
      <c r="O33" s="219"/>
      <c r="P33" s="223">
        <f t="shared" si="1"/>
        <v>0</v>
      </c>
      <c r="Q33" s="235"/>
      <c r="R33" s="218"/>
      <c r="S33" s="206"/>
      <c r="T33" s="206"/>
      <c r="U33" s="206"/>
      <c r="V33" s="219"/>
      <c r="W33" s="223">
        <f t="shared" si="2"/>
        <v>0</v>
      </c>
      <c r="X33" s="475"/>
      <c r="Y33" s="333"/>
      <c r="Z33" s="30"/>
      <c r="AA33" s="27"/>
      <c r="AB33" s="347"/>
    </row>
    <row r="34" spans="1:28" ht="11.15" hidden="1" customHeight="1">
      <c r="A34" s="215">
        <v>28</v>
      </c>
      <c r="B34" s="204" t="str">
        <f>CONCATENATE(VLOOKUP('ОК-КАТА по баллам'!A34,Регистрация!$B$7:$N$71,3,FALSE)," ",VLOOKUP('ОК-КАТА по баллам'!A34,Регистрация!$B$7:$N$71,4,FALSE)," (",VLOOKUP('ОК-КАТА по баллам'!A34,Регистрация!$B$7:$N$71,11,FALSE),")")</f>
        <v xml:space="preserve">  ()</v>
      </c>
      <c r="C34" s="235"/>
      <c r="D34" s="218"/>
      <c r="E34" s="206"/>
      <c r="F34" s="206"/>
      <c r="G34" s="206"/>
      <c r="H34" s="219"/>
      <c r="I34" s="223">
        <f t="shared" si="0"/>
        <v>0</v>
      </c>
      <c r="J34" s="235"/>
      <c r="K34" s="218"/>
      <c r="L34" s="206"/>
      <c r="M34" s="206"/>
      <c r="N34" s="206"/>
      <c r="O34" s="219"/>
      <c r="P34" s="223">
        <f t="shared" si="1"/>
        <v>0</v>
      </c>
      <c r="Q34" s="235"/>
      <c r="R34" s="218"/>
      <c r="S34" s="206"/>
      <c r="T34" s="206"/>
      <c r="U34" s="206"/>
      <c r="V34" s="219"/>
      <c r="W34" s="223">
        <f t="shared" si="2"/>
        <v>0</v>
      </c>
      <c r="X34" s="475"/>
      <c r="Y34" s="333"/>
      <c r="Z34" s="30"/>
      <c r="AA34" s="27"/>
      <c r="AB34" s="347"/>
    </row>
    <row r="35" spans="1:28" ht="11.15" hidden="1" customHeight="1">
      <c r="A35" s="215">
        <v>29</v>
      </c>
      <c r="B35" s="204" t="str">
        <f>CONCATENATE(VLOOKUP('ОК-КАТА по баллам'!A35,Регистрация!$B$7:$N$71,3,FALSE)," ",VLOOKUP('ОК-КАТА по баллам'!A35,Регистрация!$B$7:$N$71,4,FALSE)," (",VLOOKUP('ОК-КАТА по баллам'!A35,Регистрация!$B$7:$N$71,11,FALSE),")")</f>
        <v xml:space="preserve">  ()</v>
      </c>
      <c r="C35" s="235"/>
      <c r="D35" s="218"/>
      <c r="E35" s="206"/>
      <c r="F35" s="206"/>
      <c r="G35" s="206"/>
      <c r="H35" s="219"/>
      <c r="I35" s="223">
        <f t="shared" si="0"/>
        <v>0</v>
      </c>
      <c r="J35" s="235"/>
      <c r="K35" s="218"/>
      <c r="L35" s="206"/>
      <c r="M35" s="206"/>
      <c r="N35" s="206"/>
      <c r="O35" s="219"/>
      <c r="P35" s="223">
        <f t="shared" si="1"/>
        <v>0</v>
      </c>
      <c r="Q35" s="235"/>
      <c r="R35" s="218"/>
      <c r="S35" s="206"/>
      <c r="T35" s="206"/>
      <c r="U35" s="206"/>
      <c r="V35" s="219"/>
      <c r="W35" s="223">
        <f t="shared" si="2"/>
        <v>0</v>
      </c>
      <c r="X35" s="475"/>
      <c r="Y35" s="333"/>
      <c r="Z35" s="30"/>
      <c r="AA35" s="27"/>
      <c r="AB35" s="347"/>
    </row>
    <row r="36" spans="1:28" ht="11.15" hidden="1" customHeight="1">
      <c r="A36" s="215">
        <v>30</v>
      </c>
      <c r="B36" s="204" t="str">
        <f>CONCATENATE(VLOOKUP('ОК-КАТА по баллам'!A36,Регистрация!$B$7:$N$71,3,FALSE)," ",VLOOKUP('ОК-КАТА по баллам'!A36,Регистрация!$B$7:$N$71,4,FALSE)," (",VLOOKUP('ОК-КАТА по баллам'!A36,Регистрация!$B$7:$N$71,11,FALSE),")")</f>
        <v xml:space="preserve">  ()</v>
      </c>
      <c r="C36" s="235"/>
      <c r="D36" s="218"/>
      <c r="E36" s="206"/>
      <c r="F36" s="206"/>
      <c r="G36" s="206"/>
      <c r="H36" s="219"/>
      <c r="I36" s="223">
        <f t="shared" si="0"/>
        <v>0</v>
      </c>
      <c r="J36" s="235"/>
      <c r="K36" s="218"/>
      <c r="L36" s="206"/>
      <c r="M36" s="206"/>
      <c r="N36" s="206"/>
      <c r="O36" s="219"/>
      <c r="P36" s="223">
        <f t="shared" si="1"/>
        <v>0</v>
      </c>
      <c r="Q36" s="235"/>
      <c r="R36" s="218"/>
      <c r="S36" s="206"/>
      <c r="T36" s="206"/>
      <c r="U36" s="206"/>
      <c r="V36" s="219"/>
      <c r="W36" s="223">
        <f t="shared" si="2"/>
        <v>0</v>
      </c>
      <c r="X36" s="475"/>
      <c r="Y36" s="333"/>
      <c r="Z36" s="30"/>
      <c r="AA36" s="27"/>
      <c r="AB36" s="347"/>
    </row>
    <row r="37" spans="1:28" ht="11.15" hidden="1" customHeight="1">
      <c r="A37" s="215">
        <v>31</v>
      </c>
      <c r="B37" s="204" t="str">
        <f>CONCATENATE(VLOOKUP('ОК-КАТА по баллам'!A37,Регистрация!$B$7:$N$71,3,FALSE)," ",VLOOKUP('ОК-КАТА по баллам'!A37,Регистрация!$B$7:$N$71,4,FALSE)," (",VLOOKUP('ОК-КАТА по баллам'!A37,Регистрация!$B$7:$N$71,11,FALSE),")")</f>
        <v xml:space="preserve">  ()</v>
      </c>
      <c r="C37" s="235"/>
      <c r="D37" s="218"/>
      <c r="E37" s="206"/>
      <c r="F37" s="206"/>
      <c r="G37" s="206"/>
      <c r="H37" s="219"/>
      <c r="I37" s="223">
        <f t="shared" si="0"/>
        <v>0</v>
      </c>
      <c r="J37" s="235"/>
      <c r="K37" s="218"/>
      <c r="L37" s="206"/>
      <c r="M37" s="206"/>
      <c r="N37" s="206"/>
      <c r="O37" s="219"/>
      <c r="P37" s="223">
        <f t="shared" si="1"/>
        <v>0</v>
      </c>
      <c r="Q37" s="235"/>
      <c r="R37" s="218"/>
      <c r="S37" s="206"/>
      <c r="T37" s="206"/>
      <c r="U37" s="206"/>
      <c r="V37" s="219"/>
      <c r="W37" s="223">
        <f t="shared" si="2"/>
        <v>0</v>
      </c>
      <c r="X37" s="475"/>
      <c r="Y37" s="348"/>
      <c r="Z37" s="30"/>
      <c r="AA37" s="27"/>
      <c r="AB37" s="347"/>
    </row>
    <row r="38" spans="1:28" ht="11.15" hidden="1" customHeight="1">
      <c r="A38" s="215">
        <v>32</v>
      </c>
      <c r="B38" s="204" t="str">
        <f>CONCATENATE(VLOOKUP('ОК-КАТА по баллам'!A38,Регистрация!$B$7:$N$71,3,FALSE)," ",VLOOKUP('ОК-КАТА по баллам'!A38,Регистрация!$B$7:$N$71,4,FALSE)," (",VLOOKUP('ОК-КАТА по баллам'!A38,Регистрация!$B$7:$N$71,11,FALSE),")")</f>
        <v xml:space="preserve">  ()</v>
      </c>
      <c r="C38" s="235"/>
      <c r="D38" s="218"/>
      <c r="E38" s="206"/>
      <c r="F38" s="206"/>
      <c r="G38" s="206"/>
      <c r="H38" s="219"/>
      <c r="I38" s="223">
        <f t="shared" si="0"/>
        <v>0</v>
      </c>
      <c r="J38" s="235"/>
      <c r="K38" s="218"/>
      <c r="L38" s="206"/>
      <c r="M38" s="206"/>
      <c r="N38" s="206"/>
      <c r="O38" s="219"/>
      <c r="P38" s="223">
        <f t="shared" si="1"/>
        <v>0</v>
      </c>
      <c r="Q38" s="235"/>
      <c r="R38" s="218"/>
      <c r="S38" s="206"/>
      <c r="T38" s="206"/>
      <c r="U38" s="206"/>
      <c r="V38" s="219"/>
      <c r="W38" s="223">
        <f t="shared" si="2"/>
        <v>0</v>
      </c>
      <c r="X38" s="475"/>
      <c r="Y38" s="349"/>
      <c r="Z38" s="349"/>
      <c r="AA38" s="349"/>
    </row>
    <row r="39" spans="1:28" ht="11.15" hidden="1" customHeight="1">
      <c r="A39" s="215">
        <v>33</v>
      </c>
      <c r="B39" s="204" t="str">
        <f>CONCATENATE(VLOOKUP('ОК-КАТА по баллам'!A39,Регистрация!$B$7:$N$71,3,FALSE)," ",VLOOKUP('ОК-КАТА по баллам'!A39,Регистрация!$B$7:$N$71,4,FALSE)," (",VLOOKUP('ОК-КАТА по баллам'!A39,Регистрация!$B$7:$N$71,11,FALSE),")")</f>
        <v xml:space="preserve">  ()</v>
      </c>
      <c r="C39" s="235"/>
      <c r="D39" s="218"/>
      <c r="E39" s="206"/>
      <c r="F39" s="206"/>
      <c r="G39" s="206"/>
      <c r="H39" s="219"/>
      <c r="I39" s="223">
        <f t="shared" si="0"/>
        <v>0</v>
      </c>
      <c r="J39" s="235"/>
      <c r="K39" s="218"/>
      <c r="L39" s="206"/>
      <c r="M39" s="206"/>
      <c r="N39" s="206"/>
      <c r="O39" s="219"/>
      <c r="P39" s="223">
        <f t="shared" si="1"/>
        <v>0</v>
      </c>
      <c r="Q39" s="235"/>
      <c r="R39" s="218"/>
      <c r="S39" s="206"/>
      <c r="T39" s="206"/>
      <c r="U39" s="206"/>
      <c r="V39" s="219"/>
      <c r="W39" s="223">
        <f t="shared" si="2"/>
        <v>0</v>
      </c>
      <c r="X39" s="475"/>
      <c r="Y39" s="349"/>
      <c r="Z39" s="349"/>
      <c r="AA39" s="349"/>
    </row>
    <row r="40" spans="1:28" ht="11.15" hidden="1" customHeight="1">
      <c r="A40" s="215">
        <v>34</v>
      </c>
      <c r="B40" s="204" t="str">
        <f>CONCATENATE(VLOOKUP('ОК-КАТА по баллам'!A40,Регистрация!$B$7:$N$71,3,FALSE)," ",VLOOKUP('ОК-КАТА по баллам'!A40,Регистрация!$B$7:$N$71,4,FALSE)," (",VLOOKUP('ОК-КАТА по баллам'!A40,Регистрация!$B$7:$N$71,11,FALSE),")")</f>
        <v xml:space="preserve">  ()</v>
      </c>
      <c r="C40" s="235"/>
      <c r="D40" s="218"/>
      <c r="E40" s="206"/>
      <c r="F40" s="206"/>
      <c r="G40" s="206"/>
      <c r="H40" s="219"/>
      <c r="I40" s="223">
        <f t="shared" si="0"/>
        <v>0</v>
      </c>
      <c r="J40" s="235"/>
      <c r="K40" s="218"/>
      <c r="L40" s="206"/>
      <c r="M40" s="206"/>
      <c r="N40" s="206"/>
      <c r="O40" s="219"/>
      <c r="P40" s="223">
        <f t="shared" si="1"/>
        <v>0</v>
      </c>
      <c r="Q40" s="235"/>
      <c r="R40" s="218"/>
      <c r="S40" s="206"/>
      <c r="T40" s="206"/>
      <c r="U40" s="206"/>
      <c r="V40" s="219"/>
      <c r="W40" s="223">
        <f t="shared" si="2"/>
        <v>0</v>
      </c>
      <c r="X40" s="475"/>
      <c r="Y40" s="349"/>
      <c r="Z40" s="349"/>
      <c r="AA40" s="349"/>
    </row>
    <row r="41" spans="1:28" ht="11.15" hidden="1" customHeight="1">
      <c r="A41" s="215">
        <v>35</v>
      </c>
      <c r="B41" s="204" t="str">
        <f>CONCATENATE(VLOOKUP('ОК-КАТА по баллам'!A41,Регистрация!$B$7:$N$71,3,FALSE)," ",VLOOKUP('ОК-КАТА по баллам'!A41,Регистрация!$B$7:$N$71,4,FALSE)," (",VLOOKUP('ОК-КАТА по баллам'!A41,Регистрация!$B$7:$N$71,11,FALSE),")")</f>
        <v xml:space="preserve">  ()</v>
      </c>
      <c r="C41" s="235"/>
      <c r="D41" s="218"/>
      <c r="E41" s="206"/>
      <c r="F41" s="206"/>
      <c r="G41" s="206"/>
      <c r="H41" s="219"/>
      <c r="I41" s="223">
        <f t="shared" si="0"/>
        <v>0</v>
      </c>
      <c r="J41" s="235"/>
      <c r="K41" s="218"/>
      <c r="L41" s="206"/>
      <c r="M41" s="206"/>
      <c r="N41" s="206"/>
      <c r="O41" s="219"/>
      <c r="P41" s="223">
        <f t="shared" si="1"/>
        <v>0</v>
      </c>
      <c r="Q41" s="235"/>
      <c r="R41" s="218"/>
      <c r="S41" s="206"/>
      <c r="T41" s="206"/>
      <c r="U41" s="206"/>
      <c r="V41" s="219"/>
      <c r="W41" s="223">
        <f t="shared" si="2"/>
        <v>0</v>
      </c>
      <c r="X41" s="475"/>
      <c r="Y41" s="349"/>
      <c r="Z41" s="349"/>
      <c r="AA41" s="349"/>
    </row>
    <row r="42" spans="1:28" ht="11.15" hidden="1" customHeight="1">
      <c r="A42" s="215">
        <v>36</v>
      </c>
      <c r="B42" s="204" t="str">
        <f>CONCATENATE(VLOOKUP('ОК-КАТА по баллам'!A42,Регистрация!$B$7:$N$71,3,FALSE)," ",VLOOKUP('ОК-КАТА по баллам'!A42,Регистрация!$B$7:$N$71,4,FALSE)," (",VLOOKUP('ОК-КАТА по баллам'!A42,Регистрация!$B$7:$N$71,11,FALSE),")")</f>
        <v xml:space="preserve">  ()</v>
      </c>
      <c r="C42" s="235"/>
      <c r="D42" s="218"/>
      <c r="E42" s="206"/>
      <c r="F42" s="206"/>
      <c r="G42" s="206"/>
      <c r="H42" s="219"/>
      <c r="I42" s="223">
        <f t="shared" si="0"/>
        <v>0</v>
      </c>
      <c r="J42" s="235"/>
      <c r="K42" s="218"/>
      <c r="L42" s="206"/>
      <c r="M42" s="206"/>
      <c r="N42" s="206"/>
      <c r="O42" s="219"/>
      <c r="P42" s="223">
        <f t="shared" si="1"/>
        <v>0</v>
      </c>
      <c r="Q42" s="235"/>
      <c r="R42" s="218"/>
      <c r="S42" s="206"/>
      <c r="T42" s="206"/>
      <c r="U42" s="206"/>
      <c r="V42" s="219"/>
      <c r="W42" s="223">
        <f t="shared" si="2"/>
        <v>0</v>
      </c>
      <c r="X42" s="475"/>
      <c r="Y42" s="349"/>
      <c r="Z42" s="349"/>
      <c r="AA42" s="349"/>
    </row>
    <row r="43" spans="1:28" ht="11.15" hidden="1" customHeight="1">
      <c r="A43" s="215">
        <v>37</v>
      </c>
      <c r="B43" s="204" t="str">
        <f>CONCATENATE(VLOOKUP('ОК-КАТА по баллам'!A43,Регистрация!$B$7:$N$71,3,FALSE)," ",VLOOKUP('ОК-КАТА по баллам'!A43,Регистрация!$B$7:$N$71,4,FALSE)," (",VLOOKUP('ОК-КАТА по баллам'!A43,Регистрация!$B$7:$N$71,11,FALSE),")")</f>
        <v xml:space="preserve">  ()</v>
      </c>
      <c r="C43" s="235"/>
      <c r="D43" s="218"/>
      <c r="E43" s="206"/>
      <c r="F43" s="206"/>
      <c r="G43" s="206"/>
      <c r="H43" s="219"/>
      <c r="I43" s="223">
        <f t="shared" si="0"/>
        <v>0</v>
      </c>
      <c r="J43" s="235"/>
      <c r="K43" s="218"/>
      <c r="L43" s="206"/>
      <c r="M43" s="206"/>
      <c r="N43" s="206"/>
      <c r="O43" s="219"/>
      <c r="P43" s="223">
        <f t="shared" si="1"/>
        <v>0</v>
      </c>
      <c r="Q43" s="235"/>
      <c r="R43" s="218"/>
      <c r="S43" s="206"/>
      <c r="T43" s="206"/>
      <c r="U43" s="206"/>
      <c r="V43" s="219"/>
      <c r="W43" s="223">
        <f t="shared" si="2"/>
        <v>0</v>
      </c>
      <c r="X43" s="475"/>
      <c r="Y43" s="349"/>
      <c r="Z43" s="349"/>
      <c r="AA43" s="349"/>
    </row>
    <row r="44" spans="1:28" ht="11.15" hidden="1" customHeight="1">
      <c r="A44" s="215">
        <v>38</v>
      </c>
      <c r="B44" s="204" t="str">
        <f>CONCATENATE(VLOOKUP('ОК-КАТА по баллам'!A44,Регистрация!$B$7:$N$71,3,FALSE)," ",VLOOKUP('ОК-КАТА по баллам'!A44,Регистрация!$B$7:$N$71,4,FALSE)," (",VLOOKUP('ОК-КАТА по баллам'!A44,Регистрация!$B$7:$N$71,11,FALSE),")")</f>
        <v xml:space="preserve">  ()</v>
      </c>
      <c r="C44" s="235"/>
      <c r="D44" s="218"/>
      <c r="E44" s="206"/>
      <c r="F44" s="206"/>
      <c r="G44" s="206"/>
      <c r="H44" s="219"/>
      <c r="I44" s="223">
        <f t="shared" si="0"/>
        <v>0</v>
      </c>
      <c r="J44" s="235"/>
      <c r="K44" s="218"/>
      <c r="L44" s="206"/>
      <c r="M44" s="206"/>
      <c r="N44" s="206"/>
      <c r="O44" s="219"/>
      <c r="P44" s="223">
        <f t="shared" si="1"/>
        <v>0</v>
      </c>
      <c r="Q44" s="235"/>
      <c r="R44" s="218"/>
      <c r="S44" s="206"/>
      <c r="T44" s="206"/>
      <c r="U44" s="206"/>
      <c r="V44" s="219"/>
      <c r="W44" s="223">
        <f t="shared" si="2"/>
        <v>0</v>
      </c>
      <c r="X44" s="475"/>
      <c r="Y44" s="349"/>
      <c r="Z44" s="349"/>
      <c r="AA44" s="349"/>
    </row>
    <row r="45" spans="1:28" ht="11.15" hidden="1" customHeight="1">
      <c r="A45" s="215">
        <v>39</v>
      </c>
      <c r="B45" s="204" t="str">
        <f>CONCATENATE(VLOOKUP('ОК-КАТА по баллам'!A45,Регистрация!$B$7:$N$71,3,FALSE)," ",VLOOKUP('ОК-КАТА по баллам'!A45,Регистрация!$B$7:$N$71,4,FALSE)," (",VLOOKUP('ОК-КАТА по баллам'!A45,Регистрация!$B$7:$N$71,11,FALSE),")")</f>
        <v xml:space="preserve">  ()</v>
      </c>
      <c r="C45" s="235"/>
      <c r="D45" s="218"/>
      <c r="E45" s="206"/>
      <c r="F45" s="206"/>
      <c r="G45" s="206"/>
      <c r="H45" s="219"/>
      <c r="I45" s="223">
        <f t="shared" si="0"/>
        <v>0</v>
      </c>
      <c r="J45" s="235"/>
      <c r="K45" s="218"/>
      <c r="L45" s="206"/>
      <c r="M45" s="206"/>
      <c r="N45" s="206"/>
      <c r="O45" s="219"/>
      <c r="P45" s="223">
        <f t="shared" si="1"/>
        <v>0</v>
      </c>
      <c r="Q45" s="235"/>
      <c r="R45" s="218"/>
      <c r="S45" s="206"/>
      <c r="T45" s="206"/>
      <c r="U45" s="206"/>
      <c r="V45" s="219"/>
      <c r="W45" s="223">
        <f t="shared" si="2"/>
        <v>0</v>
      </c>
      <c r="X45" s="475"/>
      <c r="Y45" s="349"/>
      <c r="Z45" s="349"/>
      <c r="AA45" s="349"/>
    </row>
    <row r="46" spans="1:28" ht="11.15" hidden="1" customHeight="1">
      <c r="A46" s="215">
        <v>40</v>
      </c>
      <c r="B46" s="204" t="str">
        <f>CONCATENATE(VLOOKUP('ОК-КАТА по баллам'!A46,Регистрация!$B$7:$N$71,3,FALSE)," ",VLOOKUP('ОК-КАТА по баллам'!A46,Регистрация!$B$7:$N$71,4,FALSE)," (",VLOOKUP('ОК-КАТА по баллам'!A46,Регистрация!$B$7:$N$71,11,FALSE),")")</f>
        <v xml:space="preserve">  ()</v>
      </c>
      <c r="C46" s="235"/>
      <c r="D46" s="218"/>
      <c r="E46" s="206"/>
      <c r="F46" s="206"/>
      <c r="G46" s="206"/>
      <c r="H46" s="219"/>
      <c r="I46" s="223">
        <f t="shared" si="0"/>
        <v>0</v>
      </c>
      <c r="J46" s="235"/>
      <c r="K46" s="218"/>
      <c r="L46" s="206"/>
      <c r="M46" s="206"/>
      <c r="N46" s="206"/>
      <c r="O46" s="219"/>
      <c r="P46" s="223">
        <f t="shared" si="1"/>
        <v>0</v>
      </c>
      <c r="Q46" s="235"/>
      <c r="R46" s="218"/>
      <c r="S46" s="206"/>
      <c r="T46" s="206"/>
      <c r="U46" s="206"/>
      <c r="V46" s="219"/>
      <c r="W46" s="223">
        <f t="shared" si="2"/>
        <v>0</v>
      </c>
      <c r="X46" s="475"/>
      <c r="Y46" s="349"/>
      <c r="Z46" s="349"/>
      <c r="AA46" s="349"/>
    </row>
    <row r="47" spans="1:28" ht="11.15" hidden="1" customHeight="1">
      <c r="A47" s="215">
        <v>41</v>
      </c>
      <c r="B47" s="204" t="str">
        <f>CONCATENATE(VLOOKUP('ОК-КАТА по баллам'!A47,Регистрация!$B$7:$N$71,3,FALSE)," ",VLOOKUP('ОК-КАТА по баллам'!A47,Регистрация!$B$7:$N$71,4,FALSE)," (",VLOOKUP('ОК-КАТА по баллам'!A47,Регистрация!$B$7:$N$71,11,FALSE),")")</f>
        <v xml:space="preserve">  ()</v>
      </c>
      <c r="C47" s="235"/>
      <c r="D47" s="218"/>
      <c r="E47" s="206"/>
      <c r="F47" s="206"/>
      <c r="G47" s="206"/>
      <c r="H47" s="219"/>
      <c r="I47" s="223">
        <f t="shared" si="0"/>
        <v>0</v>
      </c>
      <c r="J47" s="235"/>
      <c r="K47" s="218"/>
      <c r="L47" s="206"/>
      <c r="M47" s="206"/>
      <c r="N47" s="206"/>
      <c r="O47" s="219"/>
      <c r="P47" s="223">
        <f t="shared" si="1"/>
        <v>0</v>
      </c>
      <c r="Q47" s="235"/>
      <c r="R47" s="218"/>
      <c r="S47" s="206"/>
      <c r="T47" s="206"/>
      <c r="U47" s="206"/>
      <c r="V47" s="219"/>
      <c r="W47" s="223">
        <f t="shared" si="2"/>
        <v>0</v>
      </c>
      <c r="X47" s="475"/>
      <c r="Y47" s="349"/>
      <c r="Z47" s="349"/>
      <c r="AA47" s="349"/>
    </row>
    <row r="48" spans="1:28" ht="11.15" hidden="1" customHeight="1">
      <c r="A48" s="215">
        <v>42</v>
      </c>
      <c r="B48" s="204" t="str">
        <f>CONCATENATE(VLOOKUP('ОК-КАТА по баллам'!A48,Регистрация!$B$7:$N$71,3,FALSE)," ",VLOOKUP('ОК-КАТА по баллам'!A48,Регистрация!$B$7:$N$71,4,FALSE)," (",VLOOKUP('ОК-КАТА по баллам'!A48,Регистрация!$B$7:$N$71,11,FALSE),")")</f>
        <v xml:space="preserve">  ()</v>
      </c>
      <c r="C48" s="235"/>
      <c r="D48" s="218"/>
      <c r="E48" s="206"/>
      <c r="F48" s="206"/>
      <c r="G48" s="206"/>
      <c r="H48" s="219"/>
      <c r="I48" s="223">
        <f t="shared" si="0"/>
        <v>0</v>
      </c>
      <c r="J48" s="235"/>
      <c r="K48" s="218"/>
      <c r="L48" s="206"/>
      <c r="M48" s="206"/>
      <c r="N48" s="206"/>
      <c r="O48" s="219"/>
      <c r="P48" s="223">
        <f t="shared" si="1"/>
        <v>0</v>
      </c>
      <c r="Q48" s="235"/>
      <c r="R48" s="218"/>
      <c r="S48" s="206"/>
      <c r="T48" s="206"/>
      <c r="U48" s="206"/>
      <c r="V48" s="219"/>
      <c r="W48" s="223">
        <f t="shared" si="2"/>
        <v>0</v>
      </c>
      <c r="X48" s="475"/>
      <c r="Y48" s="349"/>
      <c r="Z48" s="349"/>
      <c r="AA48" s="349"/>
    </row>
    <row r="49" spans="1:27" ht="11.15" hidden="1" customHeight="1">
      <c r="A49" s="215">
        <v>43</v>
      </c>
      <c r="B49" s="204" t="str">
        <f>CONCATENATE(VLOOKUP('ОК-КАТА по баллам'!A49,Регистрация!$B$7:$N$71,3,FALSE)," ",VLOOKUP('ОК-КАТА по баллам'!A49,Регистрация!$B$7:$N$71,4,FALSE)," (",VLOOKUP('ОК-КАТА по баллам'!A49,Регистрация!$B$7:$N$71,11,FALSE),")")</f>
        <v xml:space="preserve">  ()</v>
      </c>
      <c r="C49" s="235"/>
      <c r="D49" s="218"/>
      <c r="E49" s="206"/>
      <c r="F49" s="206"/>
      <c r="G49" s="206"/>
      <c r="H49" s="219"/>
      <c r="I49" s="223">
        <f t="shared" si="0"/>
        <v>0</v>
      </c>
      <c r="J49" s="235"/>
      <c r="K49" s="218"/>
      <c r="L49" s="206"/>
      <c r="M49" s="206"/>
      <c r="N49" s="206"/>
      <c r="O49" s="219"/>
      <c r="P49" s="223">
        <f t="shared" si="1"/>
        <v>0</v>
      </c>
      <c r="Q49" s="235"/>
      <c r="R49" s="218"/>
      <c r="S49" s="206"/>
      <c r="T49" s="206"/>
      <c r="U49" s="206"/>
      <c r="V49" s="219"/>
      <c r="W49" s="223">
        <f t="shared" si="2"/>
        <v>0</v>
      </c>
      <c r="X49" s="475"/>
      <c r="Y49" s="349"/>
      <c r="Z49" s="349"/>
      <c r="AA49" s="349"/>
    </row>
    <row r="50" spans="1:27" ht="11.15" hidden="1" customHeight="1">
      <c r="A50" s="215">
        <v>44</v>
      </c>
      <c r="B50" s="204" t="str">
        <f>CONCATENATE(VLOOKUP('ОК-КАТА по баллам'!A50,Регистрация!$B$7:$N$71,3,FALSE)," ",VLOOKUP('ОК-КАТА по баллам'!A50,Регистрация!$B$7:$N$71,4,FALSE)," (",VLOOKUP('ОК-КАТА по баллам'!A50,Регистрация!$B$7:$N$71,11,FALSE),")")</f>
        <v xml:space="preserve">  ()</v>
      </c>
      <c r="C50" s="235"/>
      <c r="D50" s="218"/>
      <c r="E50" s="206"/>
      <c r="F50" s="206"/>
      <c r="G50" s="206"/>
      <c r="H50" s="219"/>
      <c r="I50" s="223">
        <f t="shared" si="0"/>
        <v>0</v>
      </c>
      <c r="J50" s="235"/>
      <c r="K50" s="218"/>
      <c r="L50" s="206"/>
      <c r="M50" s="206"/>
      <c r="N50" s="206"/>
      <c r="O50" s="219"/>
      <c r="P50" s="223">
        <f t="shared" si="1"/>
        <v>0</v>
      </c>
      <c r="Q50" s="235"/>
      <c r="R50" s="218"/>
      <c r="S50" s="206"/>
      <c r="T50" s="206"/>
      <c r="U50" s="206"/>
      <c r="V50" s="219"/>
      <c r="W50" s="223">
        <f t="shared" si="2"/>
        <v>0</v>
      </c>
      <c r="X50" s="475"/>
      <c r="Y50" s="349"/>
      <c r="Z50" s="349"/>
      <c r="AA50" s="349"/>
    </row>
    <row r="51" spans="1:27" ht="11.15" hidden="1" customHeight="1">
      <c r="A51" s="215">
        <v>45</v>
      </c>
      <c r="B51" s="204" t="str">
        <f>CONCATENATE(VLOOKUP('ОК-КАТА по баллам'!A51,Регистрация!$B$7:$N$71,3,FALSE)," ",VLOOKUP('ОК-КАТА по баллам'!A51,Регистрация!$B$7:$N$71,4,FALSE)," (",VLOOKUP('ОК-КАТА по баллам'!A51,Регистрация!$B$7:$N$71,11,FALSE),")")</f>
        <v xml:space="preserve">  ()</v>
      </c>
      <c r="C51" s="235"/>
      <c r="D51" s="218"/>
      <c r="E51" s="206"/>
      <c r="F51" s="206"/>
      <c r="G51" s="206"/>
      <c r="H51" s="219"/>
      <c r="I51" s="223">
        <f t="shared" si="0"/>
        <v>0</v>
      </c>
      <c r="J51" s="235"/>
      <c r="K51" s="218"/>
      <c r="L51" s="206"/>
      <c r="M51" s="206"/>
      <c r="N51" s="206"/>
      <c r="O51" s="219"/>
      <c r="P51" s="223">
        <f t="shared" si="1"/>
        <v>0</v>
      </c>
      <c r="Q51" s="235"/>
      <c r="R51" s="218"/>
      <c r="S51" s="206"/>
      <c r="T51" s="206"/>
      <c r="U51" s="206"/>
      <c r="V51" s="219"/>
      <c r="W51" s="223">
        <f t="shared" si="2"/>
        <v>0</v>
      </c>
      <c r="X51" s="475"/>
      <c r="Y51" s="349"/>
      <c r="Z51" s="349"/>
      <c r="AA51" s="349"/>
    </row>
    <row r="52" spans="1:27" ht="11.15" hidden="1" customHeight="1">
      <c r="A52" s="215">
        <v>46</v>
      </c>
      <c r="B52" s="204" t="str">
        <f>CONCATENATE(VLOOKUP('ОК-КАТА по баллам'!A52,Регистрация!$B$7:$N$71,3,FALSE)," ",VLOOKUP('ОК-КАТА по баллам'!A52,Регистрация!$B$7:$N$71,4,FALSE)," (",VLOOKUP('ОК-КАТА по баллам'!A52,Регистрация!$B$7:$N$71,11,FALSE),")")</f>
        <v xml:space="preserve">  ()</v>
      </c>
      <c r="C52" s="235"/>
      <c r="D52" s="218"/>
      <c r="E52" s="206"/>
      <c r="F52" s="206"/>
      <c r="G52" s="206"/>
      <c r="H52" s="219"/>
      <c r="I52" s="223">
        <f t="shared" si="0"/>
        <v>0</v>
      </c>
      <c r="J52" s="235"/>
      <c r="K52" s="218"/>
      <c r="L52" s="206"/>
      <c r="M52" s="206"/>
      <c r="N52" s="206"/>
      <c r="O52" s="219"/>
      <c r="P52" s="223">
        <f t="shared" si="1"/>
        <v>0</v>
      </c>
      <c r="Q52" s="235"/>
      <c r="R52" s="218"/>
      <c r="S52" s="206"/>
      <c r="T52" s="206"/>
      <c r="U52" s="206"/>
      <c r="V52" s="219"/>
      <c r="W52" s="223">
        <f t="shared" si="2"/>
        <v>0</v>
      </c>
      <c r="X52" s="475"/>
      <c r="Y52" s="349"/>
      <c r="Z52" s="349"/>
      <c r="AA52" s="349"/>
    </row>
    <row r="53" spans="1:27" ht="11.15" hidden="1" customHeight="1">
      <c r="A53" s="215">
        <v>47</v>
      </c>
      <c r="B53" s="204" t="str">
        <f>CONCATENATE(VLOOKUP('ОК-КАТА по баллам'!A53,Регистрация!$B$7:$N$71,3,FALSE)," ",VLOOKUP('ОК-КАТА по баллам'!A53,Регистрация!$B$7:$N$71,4,FALSE)," (",VLOOKUP('ОК-КАТА по баллам'!A53,Регистрация!$B$7:$N$71,11,FALSE),")")</f>
        <v xml:space="preserve">  ()</v>
      </c>
      <c r="C53" s="235"/>
      <c r="D53" s="218"/>
      <c r="E53" s="206"/>
      <c r="F53" s="206"/>
      <c r="G53" s="206"/>
      <c r="H53" s="219"/>
      <c r="I53" s="223">
        <f t="shared" si="0"/>
        <v>0</v>
      </c>
      <c r="J53" s="235"/>
      <c r="K53" s="218"/>
      <c r="L53" s="206"/>
      <c r="M53" s="206"/>
      <c r="N53" s="206"/>
      <c r="O53" s="219"/>
      <c r="P53" s="223">
        <f t="shared" si="1"/>
        <v>0</v>
      </c>
      <c r="Q53" s="235"/>
      <c r="R53" s="218"/>
      <c r="S53" s="206"/>
      <c r="T53" s="206"/>
      <c r="U53" s="206"/>
      <c r="V53" s="219"/>
      <c r="W53" s="223">
        <f t="shared" si="2"/>
        <v>0</v>
      </c>
      <c r="X53" s="475"/>
      <c r="Y53" s="349"/>
      <c r="Z53" s="349"/>
      <c r="AA53" s="349"/>
    </row>
    <row r="54" spans="1:27" ht="11.15" hidden="1" customHeight="1">
      <c r="A54" s="215">
        <v>48</v>
      </c>
      <c r="B54" s="204" t="str">
        <f>CONCATENATE(VLOOKUP('ОК-КАТА по баллам'!A54,Регистрация!$B$7:$N$71,3,FALSE)," ",VLOOKUP('ОК-КАТА по баллам'!A54,Регистрация!$B$7:$N$71,4,FALSE)," (",VLOOKUP('ОК-КАТА по баллам'!A54,Регистрация!$B$7:$N$71,11,FALSE),")")</f>
        <v xml:space="preserve">  ()</v>
      </c>
      <c r="C54" s="235"/>
      <c r="D54" s="218"/>
      <c r="E54" s="206"/>
      <c r="F54" s="206"/>
      <c r="G54" s="206"/>
      <c r="H54" s="219"/>
      <c r="I54" s="223">
        <f t="shared" si="0"/>
        <v>0</v>
      </c>
      <c r="J54" s="235"/>
      <c r="K54" s="218"/>
      <c r="L54" s="206"/>
      <c r="M54" s="206"/>
      <c r="N54" s="206"/>
      <c r="O54" s="219"/>
      <c r="P54" s="223">
        <f t="shared" si="1"/>
        <v>0</v>
      </c>
      <c r="Q54" s="235"/>
      <c r="R54" s="218"/>
      <c r="S54" s="206"/>
      <c r="T54" s="206"/>
      <c r="U54" s="206"/>
      <c r="V54" s="219"/>
      <c r="W54" s="223">
        <f t="shared" si="2"/>
        <v>0</v>
      </c>
      <c r="X54" s="475"/>
      <c r="Y54" s="349"/>
      <c r="Z54" s="349"/>
      <c r="AA54" s="349"/>
    </row>
    <row r="55" spans="1:27" ht="11.15" hidden="1" customHeight="1">
      <c r="A55" s="215">
        <v>49</v>
      </c>
      <c r="B55" s="204" t="str">
        <f>CONCATENATE(VLOOKUP('ОК-КАТА по баллам'!A55,Регистрация!$B$7:$N$71,3,FALSE)," ",VLOOKUP('ОК-КАТА по баллам'!A55,Регистрация!$B$7:$N$71,4,FALSE)," (",VLOOKUP('ОК-КАТА по баллам'!A55,Регистрация!$B$7:$N$71,11,FALSE),")")</f>
        <v xml:space="preserve">  ()</v>
      </c>
      <c r="C55" s="235"/>
      <c r="D55" s="218"/>
      <c r="E55" s="206"/>
      <c r="F55" s="206"/>
      <c r="G55" s="206"/>
      <c r="H55" s="219"/>
      <c r="I55" s="223">
        <f t="shared" si="0"/>
        <v>0</v>
      </c>
      <c r="J55" s="235"/>
      <c r="K55" s="218"/>
      <c r="L55" s="206"/>
      <c r="M55" s="206"/>
      <c r="N55" s="206"/>
      <c r="O55" s="219"/>
      <c r="P55" s="223">
        <f t="shared" si="1"/>
        <v>0</v>
      </c>
      <c r="Q55" s="235"/>
      <c r="R55" s="218"/>
      <c r="S55" s="206"/>
      <c r="T55" s="206"/>
      <c r="U55" s="206"/>
      <c r="V55" s="219"/>
      <c r="W55" s="223">
        <f t="shared" si="2"/>
        <v>0</v>
      </c>
      <c r="X55" s="475"/>
      <c r="Y55" s="349"/>
      <c r="Z55" s="349"/>
      <c r="AA55" s="349"/>
    </row>
    <row r="56" spans="1:27" ht="11.15" hidden="1" customHeight="1">
      <c r="A56" s="215">
        <v>50</v>
      </c>
      <c r="B56" s="204" t="str">
        <f>CONCATENATE(VLOOKUP('ОК-КАТА по баллам'!A56,Регистрация!$B$7:$N$71,3,FALSE)," ",VLOOKUP('ОК-КАТА по баллам'!A56,Регистрация!$B$7:$N$71,4,FALSE)," (",VLOOKUP('ОК-КАТА по баллам'!A56,Регистрация!$B$7:$N$71,11,FALSE),")")</f>
        <v xml:space="preserve">  ()</v>
      </c>
      <c r="C56" s="235"/>
      <c r="D56" s="218"/>
      <c r="E56" s="206"/>
      <c r="F56" s="206"/>
      <c r="G56" s="206"/>
      <c r="H56" s="219"/>
      <c r="I56" s="223">
        <f t="shared" si="0"/>
        <v>0</v>
      </c>
      <c r="J56" s="235"/>
      <c r="K56" s="218"/>
      <c r="L56" s="206"/>
      <c r="M56" s="206"/>
      <c r="N56" s="206"/>
      <c r="O56" s="219"/>
      <c r="P56" s="223">
        <f t="shared" si="1"/>
        <v>0</v>
      </c>
      <c r="Q56" s="235"/>
      <c r="R56" s="218"/>
      <c r="S56" s="206"/>
      <c r="T56" s="206"/>
      <c r="U56" s="206"/>
      <c r="V56" s="219"/>
      <c r="W56" s="223">
        <f t="shared" si="2"/>
        <v>0</v>
      </c>
      <c r="X56" s="475"/>
      <c r="Y56" s="349"/>
      <c r="Z56" s="349"/>
      <c r="AA56" s="349"/>
    </row>
    <row r="57" spans="1:27" ht="11.15" hidden="1" customHeight="1">
      <c r="A57" s="215">
        <v>51</v>
      </c>
      <c r="B57" s="204" t="str">
        <f>CONCATENATE(VLOOKUP('ОК-КАТА по баллам'!A57,Регистрация!$B$7:$N$71,3,FALSE)," ",VLOOKUP('ОК-КАТА по баллам'!A57,Регистрация!$B$7:$N$71,4,FALSE)," (",VLOOKUP('ОК-КАТА по баллам'!A57,Регистрация!$B$7:$N$71,11,FALSE),")")</f>
        <v xml:space="preserve">  ()</v>
      </c>
      <c r="C57" s="235"/>
      <c r="D57" s="218"/>
      <c r="E57" s="206"/>
      <c r="F57" s="206"/>
      <c r="G57" s="206"/>
      <c r="H57" s="219"/>
      <c r="I57" s="223">
        <f t="shared" si="0"/>
        <v>0</v>
      </c>
      <c r="J57" s="235"/>
      <c r="K57" s="218"/>
      <c r="L57" s="206"/>
      <c r="M57" s="206"/>
      <c r="N57" s="206"/>
      <c r="O57" s="219"/>
      <c r="P57" s="223">
        <f t="shared" si="1"/>
        <v>0</v>
      </c>
      <c r="Q57" s="235"/>
      <c r="R57" s="218"/>
      <c r="S57" s="206"/>
      <c r="T57" s="206"/>
      <c r="U57" s="206"/>
      <c r="V57" s="219"/>
      <c r="W57" s="223">
        <f t="shared" si="2"/>
        <v>0</v>
      </c>
      <c r="X57" s="475"/>
      <c r="Y57" s="349"/>
      <c r="Z57" s="349"/>
      <c r="AA57" s="349"/>
    </row>
    <row r="58" spans="1:27" ht="11.15" hidden="1" customHeight="1">
      <c r="A58" s="215">
        <v>52</v>
      </c>
      <c r="B58" s="204" t="str">
        <f>CONCATENATE(VLOOKUP('ОК-КАТА по баллам'!A58,Регистрация!$B$7:$N$71,3,FALSE)," ",VLOOKUP('ОК-КАТА по баллам'!A58,Регистрация!$B$7:$N$71,4,FALSE)," (",VLOOKUP('ОК-КАТА по баллам'!A58,Регистрация!$B$7:$N$71,11,FALSE),")")</f>
        <v xml:space="preserve">  ()</v>
      </c>
      <c r="C58" s="235"/>
      <c r="D58" s="218"/>
      <c r="E58" s="206"/>
      <c r="F58" s="206"/>
      <c r="G58" s="206"/>
      <c r="H58" s="219"/>
      <c r="I58" s="223">
        <f t="shared" si="0"/>
        <v>0</v>
      </c>
      <c r="J58" s="235"/>
      <c r="K58" s="218"/>
      <c r="L58" s="206"/>
      <c r="M58" s="206"/>
      <c r="N58" s="206"/>
      <c r="O58" s="219"/>
      <c r="P58" s="223">
        <f t="shared" si="1"/>
        <v>0</v>
      </c>
      <c r="Q58" s="235"/>
      <c r="R58" s="218"/>
      <c r="S58" s="206"/>
      <c r="T58" s="206"/>
      <c r="U58" s="206"/>
      <c r="V58" s="219"/>
      <c r="W58" s="223">
        <f t="shared" si="2"/>
        <v>0</v>
      </c>
      <c r="X58" s="475"/>
      <c r="Y58" s="349"/>
      <c r="Z58" s="349"/>
      <c r="AA58" s="349"/>
    </row>
    <row r="59" spans="1:27" ht="11.15" hidden="1" customHeight="1">
      <c r="A59" s="215">
        <v>53</v>
      </c>
      <c r="B59" s="204" t="str">
        <f>CONCATENATE(VLOOKUP('ОК-КАТА по баллам'!A59,Регистрация!$B$7:$N$71,3,FALSE)," ",VLOOKUP('ОК-КАТА по баллам'!A59,Регистрация!$B$7:$N$71,4,FALSE)," (",VLOOKUP('ОК-КАТА по баллам'!A59,Регистрация!$B$7:$N$71,11,FALSE),")")</f>
        <v xml:space="preserve">  ()</v>
      </c>
      <c r="C59" s="235"/>
      <c r="D59" s="218"/>
      <c r="E59" s="206"/>
      <c r="F59" s="206"/>
      <c r="G59" s="206"/>
      <c r="H59" s="219"/>
      <c r="I59" s="223">
        <f t="shared" si="0"/>
        <v>0</v>
      </c>
      <c r="J59" s="235"/>
      <c r="K59" s="218"/>
      <c r="L59" s="206"/>
      <c r="M59" s="206"/>
      <c r="N59" s="206"/>
      <c r="O59" s="219"/>
      <c r="P59" s="223">
        <f t="shared" si="1"/>
        <v>0</v>
      </c>
      <c r="Q59" s="235"/>
      <c r="R59" s="218"/>
      <c r="S59" s="206"/>
      <c r="T59" s="206"/>
      <c r="U59" s="206"/>
      <c r="V59" s="219"/>
      <c r="W59" s="223">
        <f t="shared" si="2"/>
        <v>0</v>
      </c>
      <c r="X59" s="475"/>
      <c r="Y59" s="349"/>
      <c r="Z59" s="349"/>
      <c r="AA59" s="349"/>
    </row>
    <row r="60" spans="1:27" ht="11.15" hidden="1" customHeight="1">
      <c r="A60" s="215">
        <v>54</v>
      </c>
      <c r="B60" s="204" t="str">
        <f>CONCATENATE(VLOOKUP('ОК-КАТА по баллам'!A60,Регистрация!$B$7:$N$71,3,FALSE)," ",VLOOKUP('ОК-КАТА по баллам'!A60,Регистрация!$B$7:$N$71,4,FALSE)," (",VLOOKUP('ОК-КАТА по баллам'!A60,Регистрация!$B$7:$N$71,11,FALSE),")")</f>
        <v xml:space="preserve">  ()</v>
      </c>
      <c r="C60" s="235"/>
      <c r="D60" s="218"/>
      <c r="E60" s="206"/>
      <c r="F60" s="206"/>
      <c r="G60" s="206"/>
      <c r="H60" s="219"/>
      <c r="I60" s="223">
        <f t="shared" si="0"/>
        <v>0</v>
      </c>
      <c r="J60" s="235"/>
      <c r="K60" s="218"/>
      <c r="L60" s="206"/>
      <c r="M60" s="206"/>
      <c r="N60" s="206"/>
      <c r="O60" s="219"/>
      <c r="P60" s="223">
        <f t="shared" si="1"/>
        <v>0</v>
      </c>
      <c r="Q60" s="235"/>
      <c r="R60" s="218"/>
      <c r="S60" s="206"/>
      <c r="T60" s="206"/>
      <c r="U60" s="206"/>
      <c r="V60" s="219"/>
      <c r="W60" s="223">
        <f t="shared" si="2"/>
        <v>0</v>
      </c>
      <c r="X60" s="475"/>
      <c r="Y60" s="349"/>
      <c r="Z60" s="349"/>
      <c r="AA60" s="349"/>
    </row>
    <row r="61" spans="1:27" ht="11.15" hidden="1" customHeight="1">
      <c r="A61" s="215">
        <v>55</v>
      </c>
      <c r="B61" s="204" t="str">
        <f>CONCATENATE(VLOOKUP('ОК-КАТА по баллам'!A61,Регистрация!$B$7:$N$71,3,FALSE)," ",VLOOKUP('ОК-КАТА по баллам'!A61,Регистрация!$B$7:$N$71,4,FALSE)," (",VLOOKUP('ОК-КАТА по баллам'!A61,Регистрация!$B$7:$N$71,11,FALSE),")")</f>
        <v xml:space="preserve">  ()</v>
      </c>
      <c r="C61" s="235"/>
      <c r="D61" s="218"/>
      <c r="E61" s="206"/>
      <c r="F61" s="206"/>
      <c r="G61" s="206"/>
      <c r="H61" s="219"/>
      <c r="I61" s="223">
        <f t="shared" si="0"/>
        <v>0</v>
      </c>
      <c r="J61" s="235"/>
      <c r="K61" s="218"/>
      <c r="L61" s="206"/>
      <c r="M61" s="206"/>
      <c r="N61" s="206"/>
      <c r="O61" s="219"/>
      <c r="P61" s="223">
        <f t="shared" si="1"/>
        <v>0</v>
      </c>
      <c r="Q61" s="235"/>
      <c r="R61" s="218"/>
      <c r="S61" s="206"/>
      <c r="T61" s="206"/>
      <c r="U61" s="206"/>
      <c r="V61" s="219"/>
      <c r="W61" s="223">
        <f t="shared" si="2"/>
        <v>0</v>
      </c>
      <c r="X61" s="475"/>
      <c r="Y61" s="349"/>
      <c r="Z61" s="349"/>
      <c r="AA61" s="349"/>
    </row>
    <row r="62" spans="1:27" ht="11.15" hidden="1" customHeight="1">
      <c r="A62" s="215">
        <v>56</v>
      </c>
      <c r="B62" s="204" t="str">
        <f>CONCATENATE(VLOOKUP('ОК-КАТА по баллам'!A62,Регистрация!$B$7:$N$71,3,FALSE)," ",VLOOKUP('ОК-КАТА по баллам'!A62,Регистрация!$B$7:$N$71,4,FALSE)," (",VLOOKUP('ОК-КАТА по баллам'!A62,Регистрация!$B$7:$N$71,11,FALSE),")")</f>
        <v xml:space="preserve">  ()</v>
      </c>
      <c r="C62" s="235"/>
      <c r="D62" s="218"/>
      <c r="E62" s="206"/>
      <c r="F62" s="206"/>
      <c r="G62" s="206"/>
      <c r="H62" s="219"/>
      <c r="I62" s="223">
        <f t="shared" si="0"/>
        <v>0</v>
      </c>
      <c r="J62" s="235"/>
      <c r="K62" s="218"/>
      <c r="L62" s="206"/>
      <c r="M62" s="206"/>
      <c r="N62" s="206"/>
      <c r="O62" s="219"/>
      <c r="P62" s="223">
        <f t="shared" si="1"/>
        <v>0</v>
      </c>
      <c r="Q62" s="235"/>
      <c r="R62" s="218"/>
      <c r="S62" s="206"/>
      <c r="T62" s="206"/>
      <c r="U62" s="206"/>
      <c r="V62" s="219"/>
      <c r="W62" s="223">
        <f t="shared" si="2"/>
        <v>0</v>
      </c>
      <c r="X62" s="475"/>
      <c r="Y62" s="349"/>
      <c r="Z62" s="349"/>
      <c r="AA62" s="349"/>
    </row>
    <row r="63" spans="1:27" ht="11.15" hidden="1" customHeight="1">
      <c r="A63" s="215">
        <v>57</v>
      </c>
      <c r="B63" s="204" t="str">
        <f>CONCATENATE(VLOOKUP('ОК-КАТА по баллам'!A63,Регистрация!$B$7:$N$71,3,FALSE)," ",VLOOKUP('ОК-КАТА по баллам'!A63,Регистрация!$B$7:$N$71,4,FALSE)," (",VLOOKUP('ОК-КАТА по баллам'!A63,Регистрация!$B$7:$N$71,11,FALSE),")")</f>
        <v xml:space="preserve">  ()</v>
      </c>
      <c r="C63" s="235"/>
      <c r="D63" s="218"/>
      <c r="E63" s="206"/>
      <c r="F63" s="206"/>
      <c r="G63" s="206"/>
      <c r="H63" s="219"/>
      <c r="I63" s="223">
        <f t="shared" si="0"/>
        <v>0</v>
      </c>
      <c r="J63" s="235"/>
      <c r="K63" s="218"/>
      <c r="L63" s="206"/>
      <c r="M63" s="206"/>
      <c r="N63" s="206"/>
      <c r="O63" s="219"/>
      <c r="P63" s="223">
        <f t="shared" si="1"/>
        <v>0</v>
      </c>
      <c r="Q63" s="235"/>
      <c r="R63" s="218"/>
      <c r="S63" s="206"/>
      <c r="T63" s="206"/>
      <c r="U63" s="206"/>
      <c r="V63" s="219"/>
      <c r="W63" s="223">
        <f t="shared" si="2"/>
        <v>0</v>
      </c>
      <c r="X63" s="475"/>
      <c r="Y63" s="349"/>
      <c r="Z63" s="349"/>
      <c r="AA63" s="349"/>
    </row>
    <row r="64" spans="1:27" ht="11.15" hidden="1" customHeight="1">
      <c r="A64" s="215">
        <v>58</v>
      </c>
      <c r="B64" s="204" t="str">
        <f>CONCATENATE(VLOOKUP('ОК-КАТА по баллам'!A64,Регистрация!$B$7:$N$71,3,FALSE)," ",VLOOKUP('ОК-КАТА по баллам'!A64,Регистрация!$B$7:$N$71,4,FALSE)," (",VLOOKUP('ОК-КАТА по баллам'!A64,Регистрация!$B$7:$N$71,11,FALSE),")")</f>
        <v xml:space="preserve">  ()</v>
      </c>
      <c r="C64" s="235"/>
      <c r="D64" s="218"/>
      <c r="E64" s="206"/>
      <c r="F64" s="206"/>
      <c r="G64" s="206"/>
      <c r="H64" s="219"/>
      <c r="I64" s="223">
        <f t="shared" si="0"/>
        <v>0</v>
      </c>
      <c r="J64" s="235"/>
      <c r="K64" s="218"/>
      <c r="L64" s="206"/>
      <c r="M64" s="206"/>
      <c r="N64" s="206"/>
      <c r="O64" s="219"/>
      <c r="P64" s="223">
        <f t="shared" si="1"/>
        <v>0</v>
      </c>
      <c r="Q64" s="235"/>
      <c r="R64" s="218"/>
      <c r="S64" s="206"/>
      <c r="T64" s="206"/>
      <c r="U64" s="206"/>
      <c r="V64" s="219"/>
      <c r="W64" s="223">
        <f t="shared" si="2"/>
        <v>0</v>
      </c>
      <c r="X64" s="475"/>
      <c r="Y64" s="349"/>
      <c r="Z64" s="349"/>
      <c r="AA64" s="349"/>
    </row>
    <row r="65" spans="1:27" ht="11.15" hidden="1" customHeight="1">
      <c r="A65" s="215">
        <v>59</v>
      </c>
      <c r="B65" s="204" t="str">
        <f>CONCATENATE(VLOOKUP('ОК-КАТА по баллам'!A65,Регистрация!$B$7:$N$71,3,FALSE)," ",VLOOKUP('ОК-КАТА по баллам'!A65,Регистрация!$B$7:$N$71,4,FALSE)," (",VLOOKUP('ОК-КАТА по баллам'!A65,Регистрация!$B$7:$N$71,11,FALSE),")")</f>
        <v xml:space="preserve">  ()</v>
      </c>
      <c r="C65" s="235"/>
      <c r="D65" s="218"/>
      <c r="E65" s="206"/>
      <c r="F65" s="206"/>
      <c r="G65" s="206"/>
      <c r="H65" s="219"/>
      <c r="I65" s="223">
        <f t="shared" si="0"/>
        <v>0</v>
      </c>
      <c r="J65" s="235"/>
      <c r="K65" s="218"/>
      <c r="L65" s="206"/>
      <c r="M65" s="206"/>
      <c r="N65" s="206"/>
      <c r="O65" s="219"/>
      <c r="P65" s="223">
        <f t="shared" si="1"/>
        <v>0</v>
      </c>
      <c r="Q65" s="235"/>
      <c r="R65" s="218"/>
      <c r="S65" s="206"/>
      <c r="T65" s="206"/>
      <c r="U65" s="206"/>
      <c r="V65" s="219"/>
      <c r="W65" s="223">
        <f t="shared" si="2"/>
        <v>0</v>
      </c>
      <c r="X65" s="475"/>
      <c r="Y65" s="349"/>
      <c r="Z65" s="349"/>
      <c r="AA65" s="349"/>
    </row>
    <row r="66" spans="1:27" ht="11.15" hidden="1" customHeight="1">
      <c r="A66" s="215">
        <v>60</v>
      </c>
      <c r="B66" s="204" t="str">
        <f>CONCATENATE(VLOOKUP('ОК-КАТА по баллам'!A66,Регистрация!$B$7:$N$71,3,FALSE)," ",VLOOKUP('ОК-КАТА по баллам'!A66,Регистрация!$B$7:$N$71,4,FALSE)," (",VLOOKUP('ОК-КАТА по баллам'!A66,Регистрация!$B$7:$N$71,11,FALSE),")")</f>
        <v xml:space="preserve">  ()</v>
      </c>
      <c r="C66" s="235"/>
      <c r="D66" s="218"/>
      <c r="E66" s="206"/>
      <c r="F66" s="206"/>
      <c r="G66" s="206"/>
      <c r="H66" s="219"/>
      <c r="I66" s="223">
        <f t="shared" si="0"/>
        <v>0</v>
      </c>
      <c r="J66" s="235"/>
      <c r="K66" s="218"/>
      <c r="L66" s="206"/>
      <c r="M66" s="206"/>
      <c r="N66" s="206"/>
      <c r="O66" s="219"/>
      <c r="P66" s="223">
        <f t="shared" si="1"/>
        <v>0</v>
      </c>
      <c r="Q66" s="235"/>
      <c r="R66" s="218"/>
      <c r="S66" s="206"/>
      <c r="T66" s="206"/>
      <c r="U66" s="206"/>
      <c r="V66" s="219"/>
      <c r="W66" s="223">
        <f t="shared" si="2"/>
        <v>0</v>
      </c>
      <c r="X66" s="475"/>
      <c r="Y66" s="349"/>
      <c r="Z66" s="349"/>
      <c r="AA66" s="349"/>
    </row>
    <row r="67" spans="1:27" ht="11.15" hidden="1" customHeight="1">
      <c r="A67" s="215">
        <v>61</v>
      </c>
      <c r="B67" s="204" t="str">
        <f>CONCATENATE(VLOOKUP('ОК-КАТА по баллам'!A67,Регистрация!$B$7:$N$71,3,FALSE)," ",VLOOKUP('ОК-КАТА по баллам'!A67,Регистрация!$B$7:$N$71,4,FALSE)," (",VLOOKUP('ОК-КАТА по баллам'!A67,Регистрация!$B$7:$N$71,11,FALSE),")")</f>
        <v xml:space="preserve">  ()</v>
      </c>
      <c r="C67" s="235"/>
      <c r="D67" s="218"/>
      <c r="E67" s="206"/>
      <c r="F67" s="206"/>
      <c r="G67" s="206"/>
      <c r="H67" s="219"/>
      <c r="I67" s="223">
        <f t="shared" si="0"/>
        <v>0</v>
      </c>
      <c r="J67" s="235"/>
      <c r="K67" s="218"/>
      <c r="L67" s="206"/>
      <c r="M67" s="206"/>
      <c r="N67" s="206"/>
      <c r="O67" s="219"/>
      <c r="P67" s="223">
        <f t="shared" si="1"/>
        <v>0</v>
      </c>
      <c r="Q67" s="235"/>
      <c r="R67" s="218"/>
      <c r="S67" s="206"/>
      <c r="T67" s="206"/>
      <c r="U67" s="206"/>
      <c r="V67" s="219"/>
      <c r="W67" s="223">
        <f t="shared" si="2"/>
        <v>0</v>
      </c>
      <c r="X67" s="475"/>
      <c r="Y67" s="349"/>
      <c r="Z67" s="349"/>
      <c r="AA67" s="349"/>
    </row>
    <row r="68" spans="1:27" ht="11.15" hidden="1" customHeight="1">
      <c r="A68" s="215">
        <v>62</v>
      </c>
      <c r="B68" s="204" t="str">
        <f>CONCATENATE(VLOOKUP('ОК-КАТА по баллам'!A68,Регистрация!$B$7:$N$71,3,FALSE)," ",VLOOKUP('ОК-КАТА по баллам'!A68,Регистрация!$B$7:$N$71,4,FALSE)," (",VLOOKUP('ОК-КАТА по баллам'!A68,Регистрация!$B$7:$N$71,11,FALSE),")")</f>
        <v xml:space="preserve">  ()</v>
      </c>
      <c r="C68" s="235"/>
      <c r="D68" s="218"/>
      <c r="E68" s="206"/>
      <c r="F68" s="206"/>
      <c r="G68" s="206"/>
      <c r="H68" s="219"/>
      <c r="I68" s="223">
        <f t="shared" si="0"/>
        <v>0</v>
      </c>
      <c r="J68" s="235"/>
      <c r="K68" s="218"/>
      <c r="L68" s="206"/>
      <c r="M68" s="206"/>
      <c r="N68" s="206"/>
      <c r="O68" s="219"/>
      <c r="P68" s="223">
        <f t="shared" si="1"/>
        <v>0</v>
      </c>
      <c r="Q68" s="235"/>
      <c r="R68" s="218"/>
      <c r="S68" s="206"/>
      <c r="T68" s="206"/>
      <c r="U68" s="206"/>
      <c r="V68" s="219"/>
      <c r="W68" s="223">
        <f t="shared" si="2"/>
        <v>0</v>
      </c>
      <c r="X68" s="475"/>
      <c r="Y68" s="349"/>
      <c r="Z68" s="349"/>
      <c r="AA68" s="349"/>
    </row>
    <row r="69" spans="1:27" ht="11.15" hidden="1" customHeight="1">
      <c r="A69" s="215">
        <v>63</v>
      </c>
      <c r="B69" s="204" t="str">
        <f>CONCATENATE(VLOOKUP('ОК-КАТА по баллам'!A69,Регистрация!$B$7:$N$71,3,FALSE)," ",VLOOKUP('ОК-КАТА по баллам'!A69,Регистрация!$B$7:$N$71,4,FALSE)," (",VLOOKUP('ОК-КАТА по баллам'!A69,Регистрация!$B$7:$N$71,11,FALSE),")")</f>
        <v xml:space="preserve">  ()</v>
      </c>
      <c r="C69" s="235"/>
      <c r="D69" s="218"/>
      <c r="E69" s="206"/>
      <c r="F69" s="206"/>
      <c r="G69" s="206"/>
      <c r="H69" s="219"/>
      <c r="I69" s="223">
        <f t="shared" si="0"/>
        <v>0</v>
      </c>
      <c r="J69" s="235"/>
      <c r="K69" s="218"/>
      <c r="L69" s="206"/>
      <c r="M69" s="206"/>
      <c r="N69" s="206"/>
      <c r="O69" s="219"/>
      <c r="P69" s="223">
        <f t="shared" si="1"/>
        <v>0</v>
      </c>
      <c r="Q69" s="235"/>
      <c r="R69" s="218"/>
      <c r="S69" s="206"/>
      <c r="T69" s="206"/>
      <c r="U69" s="206"/>
      <c r="V69" s="219"/>
      <c r="W69" s="223">
        <f t="shared" si="2"/>
        <v>0</v>
      </c>
      <c r="X69" s="475"/>
      <c r="Y69" s="349"/>
      <c r="Z69" s="349"/>
      <c r="AA69" s="349"/>
    </row>
    <row r="70" spans="1:27" ht="11.15" hidden="1" customHeight="1">
      <c r="A70" s="216">
        <v>64</v>
      </c>
      <c r="B70" s="205" t="e">
        <f>CONCATENATE(VLOOKUP('ОК-КАТА по баллам'!A70,Регистрация!$B$7:$N$71,3,FALSE)," ",VLOOKUP('ОК-КАТА по баллам'!A70,Регистрация!$B$7:$N$71,4,FALSE)," (",VLOOKUP('ОК-КАТА по баллам'!A70,Регистрация!$B$7:$N$71,11,FALSE),")")</f>
        <v>#N/A</v>
      </c>
      <c r="C70" s="236"/>
      <c r="D70" s="225"/>
      <c r="E70" s="207"/>
      <c r="F70" s="207"/>
      <c r="G70" s="207"/>
      <c r="H70" s="226"/>
      <c r="I70" s="471">
        <f t="shared" si="0"/>
        <v>0</v>
      </c>
      <c r="J70" s="236"/>
      <c r="K70" s="225"/>
      <c r="L70" s="207"/>
      <c r="M70" s="207"/>
      <c r="N70" s="207"/>
      <c r="O70" s="226"/>
      <c r="P70" s="471">
        <f t="shared" si="1"/>
        <v>0</v>
      </c>
      <c r="Q70" s="236"/>
      <c r="R70" s="225"/>
      <c r="S70" s="207"/>
      <c r="T70" s="207"/>
      <c r="U70" s="207"/>
      <c r="V70" s="226"/>
      <c r="W70" s="471">
        <f t="shared" si="2"/>
        <v>0</v>
      </c>
      <c r="X70" s="476"/>
      <c r="Y70" s="349"/>
      <c r="Z70" s="349"/>
      <c r="AA70" s="349"/>
    </row>
    <row r="71" spans="1:27" ht="6.75" customHeight="1"/>
    <row r="72" spans="1:27">
      <c r="B72" s="350" t="str">
        <f>Регистрация!F73</f>
        <v>Главный судья:</v>
      </c>
      <c r="C72" s="351"/>
      <c r="D72" s="351"/>
      <c r="E72" s="351"/>
      <c r="F72" s="351"/>
      <c r="G72" s="351"/>
      <c r="H72" s="351"/>
      <c r="I72" s="351"/>
      <c r="J72" s="352"/>
      <c r="K72" s="352"/>
      <c r="L72" s="353"/>
      <c r="M72" s="352"/>
      <c r="N72" s="659" t="str">
        <f>Регистрация!N73</f>
        <v>Цыльев В.А. С1К</v>
      </c>
      <c r="O72" s="659"/>
      <c r="P72" s="659"/>
      <c r="Q72" s="659"/>
      <c r="R72" s="659"/>
      <c r="S72" s="659"/>
      <c r="T72" s="659"/>
      <c r="U72" s="659"/>
      <c r="V72" s="659"/>
      <c r="W72" s="659"/>
      <c r="X72" s="659"/>
    </row>
    <row r="73" spans="1:27">
      <c r="B73" s="350"/>
      <c r="C73" s="354"/>
      <c r="D73" s="354"/>
      <c r="E73" s="355"/>
      <c r="F73" s="355"/>
      <c r="G73" s="355"/>
      <c r="H73" s="355"/>
      <c r="I73" s="355"/>
      <c r="J73" s="355"/>
      <c r="K73" s="355"/>
      <c r="L73" s="356"/>
      <c r="M73" s="356"/>
      <c r="N73" s="356"/>
      <c r="O73" s="356"/>
      <c r="P73" s="356"/>
      <c r="Q73" s="356"/>
      <c r="R73" s="356"/>
      <c r="S73" s="356"/>
      <c r="T73" s="356"/>
      <c r="U73" s="356"/>
      <c r="V73" s="356"/>
      <c r="W73" s="356"/>
      <c r="X73" s="356"/>
    </row>
    <row r="74" spans="1:27">
      <c r="B74" s="350" t="str">
        <f>Регистрация!F74</f>
        <v>Главный секретерь:</v>
      </c>
      <c r="C74" s="351"/>
      <c r="D74" s="351"/>
      <c r="E74" s="351"/>
      <c r="F74" s="351"/>
      <c r="G74" s="351"/>
      <c r="H74" s="351"/>
      <c r="I74" s="351"/>
      <c r="J74" s="352"/>
      <c r="K74" s="352"/>
      <c r="L74" s="351"/>
      <c r="M74" s="352"/>
      <c r="N74" s="659" t="str">
        <f>Регистрация!N74</f>
        <v>Орлова Е.С 3 К</v>
      </c>
      <c r="O74" s="659"/>
      <c r="P74" s="659"/>
      <c r="Q74" s="659"/>
      <c r="R74" s="659"/>
      <c r="S74" s="659"/>
      <c r="T74" s="659"/>
      <c r="U74" s="659"/>
      <c r="V74" s="659"/>
      <c r="W74" s="659"/>
      <c r="X74" s="659"/>
    </row>
  </sheetData>
  <sheetProtection formatColumns="0" formatRows="0"/>
  <mergeCells count="15">
    <mergeCell ref="N74:X74"/>
    <mergeCell ref="N72:X72"/>
    <mergeCell ref="C5:I5"/>
    <mergeCell ref="J5:P5"/>
    <mergeCell ref="Q5:W5"/>
    <mergeCell ref="R6:V6"/>
    <mergeCell ref="A4:X4"/>
    <mergeCell ref="D6:H6"/>
    <mergeCell ref="K6:O6"/>
    <mergeCell ref="A1:X1"/>
    <mergeCell ref="A2:X2"/>
    <mergeCell ref="A3:D3"/>
    <mergeCell ref="R3:V3"/>
    <mergeCell ref="W3:X3"/>
    <mergeCell ref="E3:Q3"/>
  </mergeCells>
  <pageMargins left="0.39370078740157483" right="0.11811023622047245" top="0.19685039370078741" bottom="0.19685039370078741" header="0.15748031496062992" footer="0.15748031496062992"/>
  <pageSetup paperSize="9" scale="14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4"/>
  <dimension ref="A1:AF74"/>
  <sheetViews>
    <sheetView workbookViewId="0">
      <selection activeCell="A15" sqref="A15:XFD70"/>
    </sheetView>
  </sheetViews>
  <sheetFormatPr defaultColWidth="9.1796875" defaultRowHeight="12.5"/>
  <cols>
    <col min="1" max="1" width="1.54296875" style="20" customWidth="1"/>
    <col min="2" max="2" width="25.7265625" style="21" customWidth="1"/>
    <col min="3" max="3" width="5" style="21" customWidth="1"/>
    <col min="4" max="4" width="3" style="21" customWidth="1"/>
    <col min="5" max="9" width="3.54296875" style="21" customWidth="1"/>
    <col min="10" max="11" width="5" style="21" customWidth="1"/>
    <col min="12" max="12" width="3" style="21" customWidth="1"/>
    <col min="13" max="17" width="3.54296875" style="21" customWidth="1"/>
    <col min="18" max="19" width="5" style="21" customWidth="1"/>
    <col min="20" max="20" width="3" style="21" customWidth="1"/>
    <col min="21" max="25" width="3.54296875" style="21" customWidth="1"/>
    <col min="26" max="26" width="5" style="21" customWidth="1"/>
    <col min="27" max="27" width="5.1796875" style="21" customWidth="1"/>
    <col min="28" max="28" width="5" style="21" customWidth="1"/>
    <col min="29" max="29" width="1.81640625" style="21" customWidth="1"/>
    <col min="30" max="30" width="3" style="21" customWidth="1"/>
    <col min="31" max="31" width="7" style="21" customWidth="1"/>
    <col min="32" max="32" width="1.54296875" style="20" customWidth="1"/>
    <col min="33" max="33" width="9" style="21" customWidth="1"/>
    <col min="34" max="34" width="9.1796875" style="21"/>
    <col min="35" max="1028" width="8.7265625" style="21" customWidth="1"/>
    <col min="1029" max="16384" width="9.1796875" style="21"/>
  </cols>
  <sheetData>
    <row r="1" spans="1:32" ht="13.5" customHeight="1">
      <c r="A1" s="661" t="str">
        <f>Регистрация!A1</f>
        <v xml:space="preserve"> Межмуниципальные соревнования по всестилевому каратэ "Первый старт" 27 сентября 2025 г.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  <c r="P1" s="661"/>
      <c r="Q1" s="661"/>
      <c r="R1" s="661"/>
      <c r="S1" s="661"/>
      <c r="T1" s="661"/>
      <c r="U1" s="661"/>
      <c r="V1" s="661"/>
      <c r="W1" s="661"/>
      <c r="X1" s="661"/>
      <c r="Y1" s="661"/>
      <c r="Z1" s="661"/>
      <c r="AA1" s="661"/>
      <c r="AB1" s="661"/>
      <c r="AC1" s="19"/>
      <c r="AD1" s="19"/>
      <c r="AE1" s="19"/>
    </row>
    <row r="2" spans="1:32" ht="13.5" customHeight="1">
      <c r="A2" s="662" t="str">
        <f>Регистрация!A2</f>
        <v>Вид спорта: ВСЕСТИЛЕВОЕ КАРАТЭ (номер-код вида спорта - 0900001411Я)</v>
      </c>
      <c r="B2" s="662"/>
      <c r="C2" s="662"/>
      <c r="D2" s="662"/>
      <c r="E2" s="662"/>
      <c r="F2" s="662"/>
      <c r="G2" s="662"/>
      <c r="H2" s="662"/>
      <c r="I2" s="662"/>
      <c r="J2" s="662"/>
      <c r="K2" s="662"/>
      <c r="L2" s="662"/>
      <c r="M2" s="662"/>
      <c r="N2" s="662"/>
      <c r="O2" s="662"/>
      <c r="P2" s="662"/>
      <c r="Q2" s="662"/>
      <c r="R2" s="662"/>
      <c r="S2" s="662"/>
      <c r="T2" s="662"/>
      <c r="U2" s="662"/>
      <c r="V2" s="662"/>
      <c r="W2" s="662"/>
      <c r="X2" s="662"/>
      <c r="Y2" s="662"/>
      <c r="Z2" s="662"/>
      <c r="AA2" s="662"/>
      <c r="AB2" s="662"/>
      <c r="AC2" s="22"/>
      <c r="AD2" s="22"/>
      <c r="AE2" s="22"/>
    </row>
    <row r="3" spans="1:32" ht="17.25" customHeight="1">
      <c r="A3" s="663" t="str">
        <f>Регистрация!A3</f>
        <v>Женщины 18 +  ОК-двоеборье</v>
      </c>
      <c r="B3" s="663"/>
      <c r="C3" s="663"/>
      <c r="D3" s="663"/>
      <c r="E3" s="663"/>
      <c r="F3" s="663" t="str">
        <f>Регистрация!G3</f>
        <v>г. Санкт-Петербург</v>
      </c>
      <c r="G3" s="663"/>
      <c r="H3" s="663"/>
      <c r="I3" s="663"/>
      <c r="J3" s="663"/>
      <c r="K3" s="663"/>
      <c r="L3" s="663"/>
      <c r="M3" s="663"/>
      <c r="N3" s="663"/>
      <c r="O3" s="663"/>
      <c r="P3" s="663"/>
      <c r="Q3" s="663"/>
      <c r="R3" s="663"/>
      <c r="S3" s="663"/>
      <c r="T3" s="177"/>
      <c r="U3" s="664" t="str">
        <f>Регистрация!L3</f>
        <v>27 сентября 2025</v>
      </c>
      <c r="V3" s="664"/>
      <c r="W3" s="664"/>
      <c r="X3" s="664"/>
      <c r="Y3" s="664"/>
      <c r="Z3" s="664">
        <f>Регистрация!N3</f>
        <v>0</v>
      </c>
      <c r="AA3" s="664"/>
      <c r="AB3" s="664"/>
      <c r="AC3" s="22"/>
      <c r="AD3" s="23"/>
      <c r="AE3" s="22"/>
    </row>
    <row r="4" spans="1:32" ht="17.25" customHeight="1">
      <c r="A4" s="666" t="s">
        <v>29</v>
      </c>
      <c r="B4" s="666"/>
      <c r="C4" s="666"/>
      <c r="D4" s="666"/>
      <c r="E4" s="666"/>
      <c r="F4" s="666"/>
      <c r="G4" s="666"/>
      <c r="H4" s="666"/>
      <c r="I4" s="666"/>
      <c r="J4" s="666"/>
      <c r="K4" s="666"/>
      <c r="L4" s="666"/>
      <c r="M4" s="666"/>
      <c r="N4" s="666"/>
      <c r="O4" s="666"/>
      <c r="P4" s="666"/>
      <c r="Q4" s="666"/>
      <c r="R4" s="666"/>
      <c r="S4" s="666"/>
      <c r="T4" s="666"/>
      <c r="U4" s="666"/>
      <c r="V4" s="666"/>
      <c r="W4" s="666"/>
      <c r="X4" s="666"/>
      <c r="Y4" s="666"/>
      <c r="Z4" s="666"/>
      <c r="AA4" s="666"/>
      <c r="AB4" s="666"/>
      <c r="AC4" s="176"/>
      <c r="AD4" s="23"/>
      <c r="AE4" s="22"/>
    </row>
    <row r="5" spans="1:32" s="26" customFormat="1" ht="9" customHeight="1">
      <c r="A5" s="210"/>
      <c r="B5" s="208"/>
      <c r="C5" s="667" t="s">
        <v>30</v>
      </c>
      <c r="D5" s="667"/>
      <c r="E5" s="667"/>
      <c r="F5" s="667"/>
      <c r="G5" s="667"/>
      <c r="H5" s="667"/>
      <c r="I5" s="667"/>
      <c r="J5" s="667"/>
      <c r="K5" s="668" t="s">
        <v>31</v>
      </c>
      <c r="L5" s="667"/>
      <c r="M5" s="667"/>
      <c r="N5" s="667"/>
      <c r="O5" s="667"/>
      <c r="P5" s="667"/>
      <c r="Q5" s="667"/>
      <c r="R5" s="667"/>
      <c r="S5" s="668" t="s">
        <v>43</v>
      </c>
      <c r="T5" s="667"/>
      <c r="U5" s="667"/>
      <c r="V5" s="667"/>
      <c r="W5" s="667"/>
      <c r="X5" s="667"/>
      <c r="Y5" s="667"/>
      <c r="Z5" s="669"/>
      <c r="AA5" s="238"/>
      <c r="AB5" s="209"/>
      <c r="AC5" s="24"/>
      <c r="AD5" s="25"/>
      <c r="AE5" s="25"/>
      <c r="AF5" s="20"/>
    </row>
    <row r="6" spans="1:32" s="26" customFormat="1" ht="14.25" customHeight="1">
      <c r="A6" s="211" t="s">
        <v>2</v>
      </c>
      <c r="B6" s="212" t="s">
        <v>42</v>
      </c>
      <c r="C6" s="244" t="s">
        <v>41</v>
      </c>
      <c r="D6" s="239" t="s">
        <v>44</v>
      </c>
      <c r="E6" s="670" t="s">
        <v>33</v>
      </c>
      <c r="F6" s="671"/>
      <c r="G6" s="671"/>
      <c r="H6" s="671"/>
      <c r="I6" s="668"/>
      <c r="J6" s="232" t="s">
        <v>32</v>
      </c>
      <c r="K6" s="244" t="s">
        <v>41</v>
      </c>
      <c r="L6" s="239" t="s">
        <v>44</v>
      </c>
      <c r="M6" s="670" t="s">
        <v>33</v>
      </c>
      <c r="N6" s="671"/>
      <c r="O6" s="671"/>
      <c r="P6" s="671"/>
      <c r="Q6" s="668"/>
      <c r="R6" s="232" t="s">
        <v>32</v>
      </c>
      <c r="S6" s="244" t="s">
        <v>41</v>
      </c>
      <c r="T6" s="239" t="s">
        <v>44</v>
      </c>
      <c r="U6" s="670" t="s">
        <v>33</v>
      </c>
      <c r="V6" s="671"/>
      <c r="W6" s="671"/>
      <c r="X6" s="671"/>
      <c r="Y6" s="668"/>
      <c r="Z6" s="232" t="s">
        <v>32</v>
      </c>
      <c r="AA6" s="224" t="s">
        <v>32</v>
      </c>
      <c r="AB6" s="213" t="s">
        <v>28</v>
      </c>
      <c r="AC6" s="24"/>
      <c r="AD6" s="25"/>
      <c r="AE6" s="25"/>
      <c r="AF6" s="20"/>
    </row>
    <row r="7" spans="1:32" s="29" customFormat="1" ht="11.15" customHeight="1">
      <c r="A7" s="214">
        <v>1</v>
      </c>
      <c r="B7" s="204" t="str">
        <f>CONCATENATE(VLOOKUP('ОК-КАТА по баллам'!A7,Регистрация!$B$7:$N$71,3,FALSE)," ",VLOOKUP('ОК-КАТА по баллам'!A7,Регистрация!$B$7:$N$71,4,FALSE)," (",VLOOKUP('ОК-КАТА по баллам'!A7,Регистрация!$B$7:$N$71,11,FALSE),")")</f>
        <v>Сугралиева Арина (Политех)</v>
      </c>
      <c r="C7" s="245"/>
      <c r="D7" s="240">
        <v>1</v>
      </c>
      <c r="E7" s="460"/>
      <c r="F7" s="461"/>
      <c r="G7" s="461"/>
      <c r="H7" s="461"/>
      <c r="I7" s="462"/>
      <c r="J7" s="463">
        <f>10-(SUM(E7:I7))</f>
        <v>10</v>
      </c>
      <c r="K7" s="245"/>
      <c r="L7" s="240">
        <v>1</v>
      </c>
      <c r="M7" s="460"/>
      <c r="N7" s="461"/>
      <c r="O7" s="461"/>
      <c r="P7" s="461"/>
      <c r="Q7" s="462"/>
      <c r="R7" s="463">
        <f>L7*10-(SUM(M7:Q7))</f>
        <v>10</v>
      </c>
      <c r="S7" s="246"/>
      <c r="T7" s="240">
        <v>1</v>
      </c>
      <c r="U7" s="460"/>
      <c r="V7" s="461"/>
      <c r="W7" s="461"/>
      <c r="X7" s="461"/>
      <c r="Y7" s="462"/>
      <c r="Z7" s="463">
        <f>T7*10-(SUM(U7:Y7))</f>
        <v>10</v>
      </c>
      <c r="AA7" s="463">
        <f>Z7+R7+J7</f>
        <v>30</v>
      </c>
      <c r="AB7" s="474"/>
      <c r="AC7" s="24"/>
      <c r="AD7" s="25"/>
      <c r="AE7" s="27"/>
      <c r="AF7" s="28"/>
    </row>
    <row r="8" spans="1:32" s="29" customFormat="1" ht="10.5" customHeight="1">
      <c r="A8" s="215">
        <v>2</v>
      </c>
      <c r="B8" s="204" t="str">
        <f>CONCATENATE(VLOOKUP('ОК-КАТА по баллам'!A8,Регистрация!$B$7:$N$71,3,FALSE)," ",VLOOKUP('ОК-КАТА по баллам'!A8,Регистрация!$B$7:$N$71,4,FALSE)," (",VLOOKUP('ОК-КАТА по баллам'!A8,Регистрация!$B$7:$N$71,11,FALSE),")")</f>
        <v>Хохлова Элина (WSKF)</v>
      </c>
      <c r="C8" s="38"/>
      <c r="D8" s="241">
        <v>1</v>
      </c>
      <c r="E8" s="464"/>
      <c r="F8" s="465"/>
      <c r="G8" s="465"/>
      <c r="H8" s="465"/>
      <c r="I8" s="466"/>
      <c r="J8" s="463">
        <f t="shared" ref="J8:J70" si="0">10-(SUM(E8:I8))</f>
        <v>10</v>
      </c>
      <c r="K8" s="38"/>
      <c r="L8" s="241">
        <v>1</v>
      </c>
      <c r="M8" s="464"/>
      <c r="N8" s="465"/>
      <c r="O8" s="465"/>
      <c r="P8" s="465"/>
      <c r="Q8" s="466"/>
      <c r="R8" s="463">
        <f t="shared" ref="R8:R70" si="1">L8*10-(SUM(M8:Q8))</f>
        <v>10</v>
      </c>
      <c r="S8" s="40"/>
      <c r="T8" s="240">
        <v>1</v>
      </c>
      <c r="U8" s="464"/>
      <c r="V8" s="465"/>
      <c r="W8" s="465"/>
      <c r="X8" s="465"/>
      <c r="Y8" s="466"/>
      <c r="Z8" s="463">
        <f t="shared" ref="Z8:Z70" si="2">T8*10-(SUM(U8:Y8))</f>
        <v>10</v>
      </c>
      <c r="AA8" s="463">
        <f t="shared" ref="AA8:AA70" si="3">Z8+R8+J8</f>
        <v>30</v>
      </c>
      <c r="AB8" s="475"/>
      <c r="AC8" s="24"/>
      <c r="AD8" s="25"/>
      <c r="AE8" s="27"/>
      <c r="AF8" s="28"/>
    </row>
    <row r="9" spans="1:32" s="29" customFormat="1" ht="11.15" customHeight="1">
      <c r="A9" s="215">
        <v>3</v>
      </c>
      <c r="B9" s="204" t="str">
        <f>CONCATENATE(VLOOKUP('ОК-КАТА по баллам'!A9,Регистрация!$B$7:$N$71,3,FALSE)," ",VLOOKUP('ОК-КАТА по баллам'!A9,Регистрация!$B$7:$N$71,4,FALSE)," (",VLOOKUP('ОК-КАТА по баллам'!A9,Регистрация!$B$7:$N$71,11,FALSE),")")</f>
        <v>Паранина Полина (Политех)</v>
      </c>
      <c r="C9" s="38"/>
      <c r="D9" s="241">
        <v>1</v>
      </c>
      <c r="E9" s="464"/>
      <c r="F9" s="465"/>
      <c r="G9" s="465"/>
      <c r="H9" s="465"/>
      <c r="I9" s="466"/>
      <c r="J9" s="463">
        <f t="shared" si="0"/>
        <v>10</v>
      </c>
      <c r="K9" s="38"/>
      <c r="L9" s="241">
        <v>1</v>
      </c>
      <c r="M9" s="464"/>
      <c r="N9" s="465"/>
      <c r="O9" s="465"/>
      <c r="P9" s="465"/>
      <c r="Q9" s="466"/>
      <c r="R9" s="463">
        <f t="shared" si="1"/>
        <v>10</v>
      </c>
      <c r="S9" s="38"/>
      <c r="T9" s="240">
        <v>1</v>
      </c>
      <c r="U9" s="464"/>
      <c r="V9" s="465"/>
      <c r="W9" s="465"/>
      <c r="X9" s="465"/>
      <c r="Y9" s="466"/>
      <c r="Z9" s="463">
        <f t="shared" si="2"/>
        <v>10</v>
      </c>
      <c r="AA9" s="463">
        <f t="shared" si="3"/>
        <v>30</v>
      </c>
      <c r="AB9" s="475"/>
      <c r="AC9" s="24"/>
      <c r="AD9" s="25"/>
      <c r="AE9" s="27"/>
      <c r="AF9" s="28"/>
    </row>
    <row r="10" spans="1:32" s="29" customFormat="1" ht="11.15" customHeight="1">
      <c r="A10" s="215">
        <v>4</v>
      </c>
      <c r="B10" s="204" t="str">
        <f>CONCATENATE(VLOOKUP('ОК-КАТА по баллам'!A10,Регистрация!$B$7:$N$71,3,FALSE)," ",VLOOKUP('ОК-КАТА по баллам'!A10,Регистрация!$B$7:$N$71,4,FALSE)," (",VLOOKUP('ОК-КАТА по баллам'!A10,Регистрация!$B$7:$N$71,11,FALSE),")")</f>
        <v>Шайдулина Алина (Политех)</v>
      </c>
      <c r="C10" s="38"/>
      <c r="D10" s="241">
        <v>1</v>
      </c>
      <c r="E10" s="464"/>
      <c r="F10" s="465"/>
      <c r="G10" s="465"/>
      <c r="H10" s="465"/>
      <c r="I10" s="466"/>
      <c r="J10" s="463">
        <f t="shared" si="0"/>
        <v>10</v>
      </c>
      <c r="K10" s="40"/>
      <c r="L10" s="241">
        <v>1</v>
      </c>
      <c r="M10" s="464"/>
      <c r="N10" s="465"/>
      <c r="O10" s="465"/>
      <c r="P10" s="465"/>
      <c r="Q10" s="466"/>
      <c r="R10" s="463">
        <f t="shared" si="1"/>
        <v>10</v>
      </c>
      <c r="S10" s="40"/>
      <c r="T10" s="240">
        <v>1</v>
      </c>
      <c r="U10" s="464"/>
      <c r="V10" s="465"/>
      <c r="W10" s="465"/>
      <c r="X10" s="465"/>
      <c r="Y10" s="466"/>
      <c r="Z10" s="463">
        <f t="shared" si="2"/>
        <v>10</v>
      </c>
      <c r="AA10" s="463">
        <f t="shared" si="3"/>
        <v>30</v>
      </c>
      <c r="AB10" s="475"/>
      <c r="AC10" s="24"/>
      <c r="AD10" s="25"/>
      <c r="AE10" s="27"/>
      <c r="AF10" s="28"/>
    </row>
    <row r="11" spans="1:32" s="29" customFormat="1" ht="11.15" customHeight="1">
      <c r="A11" s="215">
        <v>5</v>
      </c>
      <c r="B11" s="204" t="str">
        <f>CONCATENATE(VLOOKUP('ОК-КАТА по баллам'!A11,Регистрация!$B$7:$N$71,3,FALSE)," ",VLOOKUP('ОК-КАТА по баллам'!A11,Регистрация!$B$7:$N$71,4,FALSE)," (",VLOOKUP('ОК-КАТА по баллам'!A11,Регистрация!$B$7:$N$71,11,FALSE),")")</f>
        <v>Носкова Александра (Политех)</v>
      </c>
      <c r="C11" s="38"/>
      <c r="D11" s="241">
        <v>1</v>
      </c>
      <c r="E11" s="464"/>
      <c r="F11" s="465"/>
      <c r="G11" s="465"/>
      <c r="H11" s="465"/>
      <c r="I11" s="466"/>
      <c r="J11" s="463">
        <f t="shared" si="0"/>
        <v>10</v>
      </c>
      <c r="K11" s="38"/>
      <c r="L11" s="241">
        <v>1</v>
      </c>
      <c r="M11" s="464"/>
      <c r="N11" s="465"/>
      <c r="O11" s="465"/>
      <c r="P11" s="465"/>
      <c r="Q11" s="466"/>
      <c r="R11" s="463">
        <f t="shared" si="1"/>
        <v>10</v>
      </c>
      <c r="S11" s="38"/>
      <c r="T11" s="240">
        <v>1</v>
      </c>
      <c r="U11" s="464"/>
      <c r="V11" s="465"/>
      <c r="W11" s="465"/>
      <c r="X11" s="465"/>
      <c r="Y11" s="466"/>
      <c r="Z11" s="463">
        <f t="shared" si="2"/>
        <v>10</v>
      </c>
      <c r="AA11" s="463">
        <f t="shared" si="3"/>
        <v>30</v>
      </c>
      <c r="AB11" s="475"/>
      <c r="AC11" s="24"/>
      <c r="AD11" s="25"/>
      <c r="AE11" s="27"/>
      <c r="AF11" s="28"/>
    </row>
    <row r="12" spans="1:32" s="29" customFormat="1" ht="11.15" customHeight="1">
      <c r="A12" s="215">
        <v>6</v>
      </c>
      <c r="B12" s="204" t="str">
        <f>CONCATENATE(VLOOKUP('ОК-КАТА по баллам'!A12,Регистрация!$B$7:$N$71,3,FALSE)," ",VLOOKUP('ОК-КАТА по баллам'!A12,Регистрация!$B$7:$N$71,4,FALSE)," (",VLOOKUP('ОК-КАТА по баллам'!A12,Регистрация!$B$7:$N$71,11,FALSE),")")</f>
        <v>Павлова Мария (Политех)</v>
      </c>
      <c r="C12" s="38"/>
      <c r="D12" s="241">
        <v>1</v>
      </c>
      <c r="E12" s="464"/>
      <c r="F12" s="465"/>
      <c r="G12" s="465"/>
      <c r="H12" s="465"/>
      <c r="I12" s="466"/>
      <c r="J12" s="463">
        <f t="shared" si="0"/>
        <v>10</v>
      </c>
      <c r="K12" s="40"/>
      <c r="L12" s="241">
        <v>1</v>
      </c>
      <c r="M12" s="464"/>
      <c r="N12" s="465"/>
      <c r="O12" s="465"/>
      <c r="P12" s="465"/>
      <c r="Q12" s="466"/>
      <c r="R12" s="463">
        <f t="shared" si="1"/>
        <v>10</v>
      </c>
      <c r="S12" s="40"/>
      <c r="T12" s="240">
        <v>1</v>
      </c>
      <c r="U12" s="464"/>
      <c r="V12" s="465"/>
      <c r="W12" s="465"/>
      <c r="X12" s="465"/>
      <c r="Y12" s="466"/>
      <c r="Z12" s="463">
        <f t="shared" si="2"/>
        <v>10</v>
      </c>
      <c r="AA12" s="463">
        <f t="shared" si="3"/>
        <v>30</v>
      </c>
      <c r="AB12" s="475"/>
      <c r="AC12" s="24"/>
      <c r="AD12" s="25"/>
      <c r="AE12" s="27"/>
      <c r="AF12" s="28"/>
    </row>
    <row r="13" spans="1:32" s="29" customFormat="1" ht="11.15" customHeight="1">
      <c r="A13" s="215">
        <v>7</v>
      </c>
      <c r="B13" s="204" t="str">
        <f>CONCATENATE(VLOOKUP('ОК-КАТА по баллам'!A13,Регистрация!$B$7:$N$71,3,FALSE)," ",VLOOKUP('ОК-КАТА по баллам'!A13,Регистрация!$B$7:$N$71,4,FALSE)," (",VLOOKUP('ОК-КАТА по баллам'!A13,Регистрация!$B$7:$N$71,11,FALSE),")")</f>
        <v xml:space="preserve">  ()</v>
      </c>
      <c r="C13" s="38"/>
      <c r="D13" s="241">
        <v>1</v>
      </c>
      <c r="E13" s="464"/>
      <c r="F13" s="465"/>
      <c r="G13" s="465"/>
      <c r="H13" s="465"/>
      <c r="I13" s="466"/>
      <c r="J13" s="463">
        <f t="shared" si="0"/>
        <v>10</v>
      </c>
      <c r="K13" s="40"/>
      <c r="L13" s="241">
        <v>1</v>
      </c>
      <c r="M13" s="464"/>
      <c r="N13" s="465"/>
      <c r="O13" s="465"/>
      <c r="P13" s="465"/>
      <c r="Q13" s="466"/>
      <c r="R13" s="463">
        <f t="shared" si="1"/>
        <v>10</v>
      </c>
      <c r="S13" s="40"/>
      <c r="T13" s="240">
        <v>1</v>
      </c>
      <c r="U13" s="464"/>
      <c r="V13" s="465"/>
      <c r="W13" s="465"/>
      <c r="X13" s="465"/>
      <c r="Y13" s="466"/>
      <c r="Z13" s="463">
        <f t="shared" si="2"/>
        <v>10</v>
      </c>
      <c r="AA13" s="463">
        <f t="shared" si="3"/>
        <v>30</v>
      </c>
      <c r="AB13" s="475"/>
      <c r="AC13" s="24"/>
      <c r="AD13" s="25"/>
      <c r="AE13" s="27"/>
      <c r="AF13" s="28"/>
    </row>
    <row r="14" spans="1:32" s="29" customFormat="1" ht="11.15" customHeight="1">
      <c r="A14" s="215">
        <v>8</v>
      </c>
      <c r="B14" s="204" t="str">
        <f>CONCATENATE(VLOOKUP('ОК-КАТА по баллам'!A14,Регистрация!$B$7:$N$71,3,FALSE)," ",VLOOKUP('ОК-КАТА по баллам'!A14,Регистрация!$B$7:$N$71,4,FALSE)," (",VLOOKUP('ОК-КАТА по баллам'!A14,Регистрация!$B$7:$N$71,11,FALSE),")")</f>
        <v xml:space="preserve">  ()</v>
      </c>
      <c r="C14" s="38"/>
      <c r="D14" s="241">
        <v>1</v>
      </c>
      <c r="E14" s="464"/>
      <c r="F14" s="465"/>
      <c r="G14" s="465"/>
      <c r="H14" s="465"/>
      <c r="I14" s="466"/>
      <c r="J14" s="463">
        <f t="shared" si="0"/>
        <v>10</v>
      </c>
      <c r="K14" s="38"/>
      <c r="L14" s="241">
        <v>1</v>
      </c>
      <c r="M14" s="464"/>
      <c r="N14" s="465"/>
      <c r="O14" s="465"/>
      <c r="P14" s="465"/>
      <c r="Q14" s="466"/>
      <c r="R14" s="463">
        <f t="shared" si="1"/>
        <v>10</v>
      </c>
      <c r="S14" s="40"/>
      <c r="T14" s="240">
        <v>1</v>
      </c>
      <c r="U14" s="464"/>
      <c r="V14" s="465"/>
      <c r="W14" s="465"/>
      <c r="X14" s="465"/>
      <c r="Y14" s="466"/>
      <c r="Z14" s="463">
        <f t="shared" si="2"/>
        <v>10</v>
      </c>
      <c r="AA14" s="463">
        <f t="shared" si="3"/>
        <v>30</v>
      </c>
      <c r="AB14" s="475"/>
      <c r="AC14" s="24"/>
      <c r="AD14" s="25"/>
      <c r="AE14" s="27"/>
      <c r="AF14" s="28"/>
    </row>
    <row r="15" spans="1:32" s="29" customFormat="1" ht="11.15" hidden="1" customHeight="1">
      <c r="A15" s="215">
        <v>9</v>
      </c>
      <c r="B15" s="204" t="str">
        <f>CONCATENATE(VLOOKUP('ОК-КАТА по баллам'!A15,Регистрация!$B$7:$N$71,3,FALSE)," ",VLOOKUP('ОК-КАТА по баллам'!A15,Регистрация!$B$7:$N$71,4,FALSE)," (",VLOOKUP('ОК-КАТА по баллам'!A15,Регистрация!$B$7:$N$71,11,FALSE),")")</f>
        <v xml:space="preserve">  ()</v>
      </c>
      <c r="C15" s="38"/>
      <c r="D15" s="241">
        <v>1</v>
      </c>
      <c r="E15" s="464"/>
      <c r="F15" s="465"/>
      <c r="G15" s="465"/>
      <c r="H15" s="465"/>
      <c r="I15" s="466"/>
      <c r="J15" s="463">
        <f t="shared" si="0"/>
        <v>10</v>
      </c>
      <c r="K15" s="38"/>
      <c r="L15" s="241">
        <v>1</v>
      </c>
      <c r="M15" s="464"/>
      <c r="N15" s="465"/>
      <c r="O15" s="465"/>
      <c r="P15" s="465"/>
      <c r="Q15" s="466"/>
      <c r="R15" s="463">
        <f t="shared" si="1"/>
        <v>10</v>
      </c>
      <c r="S15" s="38"/>
      <c r="T15" s="240">
        <v>1</v>
      </c>
      <c r="U15" s="464"/>
      <c r="V15" s="465"/>
      <c r="W15" s="465"/>
      <c r="X15" s="465"/>
      <c r="Y15" s="466"/>
      <c r="Z15" s="463">
        <f t="shared" si="2"/>
        <v>10</v>
      </c>
      <c r="AA15" s="463">
        <f t="shared" si="3"/>
        <v>30</v>
      </c>
      <c r="AB15" s="475"/>
      <c r="AC15" s="24"/>
      <c r="AD15" s="25"/>
      <c r="AE15" s="27"/>
      <c r="AF15" s="28"/>
    </row>
    <row r="16" spans="1:32" s="29" customFormat="1" ht="11.15" hidden="1" customHeight="1">
      <c r="A16" s="215">
        <v>10</v>
      </c>
      <c r="B16" s="204" t="str">
        <f>CONCATENATE(VLOOKUP('ОК-КАТА по баллам'!A16,Регистрация!$B$7:$N$71,3,FALSE)," ",VLOOKUP('ОК-КАТА по баллам'!A16,Регистрация!$B$7:$N$71,4,FALSE)," (",VLOOKUP('ОК-КАТА по баллам'!A16,Регистрация!$B$7:$N$71,11,FALSE),")")</f>
        <v xml:space="preserve">  ()</v>
      </c>
      <c r="C16" s="38"/>
      <c r="D16" s="241">
        <v>1</v>
      </c>
      <c r="E16" s="464"/>
      <c r="F16" s="465"/>
      <c r="G16" s="465"/>
      <c r="H16" s="465"/>
      <c r="I16" s="466"/>
      <c r="J16" s="463">
        <f t="shared" si="0"/>
        <v>10</v>
      </c>
      <c r="K16" s="40"/>
      <c r="L16" s="241">
        <v>1</v>
      </c>
      <c r="M16" s="464"/>
      <c r="N16" s="465"/>
      <c r="O16" s="465"/>
      <c r="P16" s="465"/>
      <c r="Q16" s="466"/>
      <c r="R16" s="463">
        <f t="shared" si="1"/>
        <v>10</v>
      </c>
      <c r="S16" s="40"/>
      <c r="T16" s="240">
        <v>1</v>
      </c>
      <c r="U16" s="464"/>
      <c r="V16" s="465"/>
      <c r="W16" s="465"/>
      <c r="X16" s="465"/>
      <c r="Y16" s="466"/>
      <c r="Z16" s="463">
        <f t="shared" si="2"/>
        <v>10</v>
      </c>
      <c r="AA16" s="463">
        <f t="shared" si="3"/>
        <v>30</v>
      </c>
      <c r="AB16" s="475"/>
      <c r="AC16" s="24"/>
      <c r="AD16" s="25"/>
      <c r="AE16" s="27"/>
      <c r="AF16" s="28"/>
    </row>
    <row r="17" spans="1:32" s="29" customFormat="1" ht="11.15" hidden="1" customHeight="1">
      <c r="A17" s="215">
        <v>11</v>
      </c>
      <c r="B17" s="204" t="str">
        <f>CONCATENATE(VLOOKUP('ОК-КАТА по баллам'!A17,Регистрация!$B$7:$N$71,3,FALSE)," ",VLOOKUP('ОК-КАТА по баллам'!A17,Регистрация!$B$7:$N$71,4,FALSE)," (",VLOOKUP('ОК-КАТА по баллам'!A17,Регистрация!$B$7:$N$71,11,FALSE),")")</f>
        <v xml:space="preserve">  ()</v>
      </c>
      <c r="C17" s="38"/>
      <c r="D17" s="241">
        <v>1</v>
      </c>
      <c r="E17" s="464"/>
      <c r="F17" s="465"/>
      <c r="G17" s="465"/>
      <c r="H17" s="465"/>
      <c r="I17" s="466"/>
      <c r="J17" s="463">
        <f t="shared" si="0"/>
        <v>10</v>
      </c>
      <c r="K17" s="38"/>
      <c r="L17" s="241">
        <v>1</v>
      </c>
      <c r="M17" s="464"/>
      <c r="N17" s="465"/>
      <c r="O17" s="465"/>
      <c r="P17" s="465"/>
      <c r="Q17" s="466"/>
      <c r="R17" s="463">
        <f t="shared" si="1"/>
        <v>10</v>
      </c>
      <c r="S17" s="40"/>
      <c r="T17" s="240">
        <v>1</v>
      </c>
      <c r="U17" s="464"/>
      <c r="V17" s="465"/>
      <c r="W17" s="465"/>
      <c r="X17" s="465"/>
      <c r="Y17" s="466"/>
      <c r="Z17" s="463">
        <f t="shared" si="2"/>
        <v>10</v>
      </c>
      <c r="AA17" s="463">
        <f t="shared" si="3"/>
        <v>30</v>
      </c>
      <c r="AB17" s="475"/>
      <c r="AC17" s="24"/>
      <c r="AD17" s="25"/>
      <c r="AE17" s="27"/>
      <c r="AF17" s="28"/>
    </row>
    <row r="18" spans="1:32" s="29" customFormat="1" ht="11.15" hidden="1" customHeight="1">
      <c r="A18" s="215">
        <v>12</v>
      </c>
      <c r="B18" s="204" t="str">
        <f>CONCATENATE(VLOOKUP('ОК-КАТА по баллам'!A18,Регистрация!$B$7:$N$71,3,FALSE)," ",VLOOKUP('ОК-КАТА по баллам'!A18,Регистрация!$B$7:$N$71,4,FALSE)," (",VLOOKUP('ОК-КАТА по баллам'!A18,Регистрация!$B$7:$N$71,11,FALSE),")")</f>
        <v xml:space="preserve">  ()</v>
      </c>
      <c r="C18" s="38"/>
      <c r="D18" s="241">
        <v>1</v>
      </c>
      <c r="E18" s="464"/>
      <c r="F18" s="465"/>
      <c r="G18" s="465"/>
      <c r="H18" s="465"/>
      <c r="I18" s="466"/>
      <c r="J18" s="463">
        <f t="shared" si="0"/>
        <v>10</v>
      </c>
      <c r="K18" s="38"/>
      <c r="L18" s="241">
        <v>1</v>
      </c>
      <c r="M18" s="464"/>
      <c r="N18" s="465"/>
      <c r="O18" s="465"/>
      <c r="P18" s="465"/>
      <c r="Q18" s="466"/>
      <c r="R18" s="463">
        <f t="shared" si="1"/>
        <v>10</v>
      </c>
      <c r="S18" s="38"/>
      <c r="T18" s="240">
        <v>1</v>
      </c>
      <c r="U18" s="464"/>
      <c r="V18" s="465"/>
      <c r="W18" s="465"/>
      <c r="X18" s="465"/>
      <c r="Y18" s="466"/>
      <c r="Z18" s="463">
        <f t="shared" si="2"/>
        <v>10</v>
      </c>
      <c r="AA18" s="463">
        <f t="shared" si="3"/>
        <v>30</v>
      </c>
      <c r="AB18" s="475"/>
      <c r="AC18" s="24"/>
      <c r="AD18" s="25"/>
      <c r="AE18" s="27"/>
      <c r="AF18" s="28"/>
    </row>
    <row r="19" spans="1:32" s="29" customFormat="1" ht="11.15" hidden="1" customHeight="1">
      <c r="A19" s="215">
        <v>13</v>
      </c>
      <c r="B19" s="204" t="str">
        <f>CONCATENATE(VLOOKUP('ОК-КАТА по баллам'!A19,Регистрация!$B$7:$N$71,3,FALSE)," ",VLOOKUP('ОК-КАТА по баллам'!A19,Регистрация!$B$7:$N$71,4,FALSE)," (",VLOOKUP('ОК-КАТА по баллам'!A19,Регистрация!$B$7:$N$71,11,FALSE),")")</f>
        <v xml:space="preserve">  ()</v>
      </c>
      <c r="C19" s="38"/>
      <c r="D19" s="241">
        <v>1</v>
      </c>
      <c r="E19" s="464"/>
      <c r="F19" s="465"/>
      <c r="G19" s="465"/>
      <c r="H19" s="465"/>
      <c r="I19" s="466"/>
      <c r="J19" s="463">
        <f t="shared" si="0"/>
        <v>10</v>
      </c>
      <c r="K19" s="40"/>
      <c r="L19" s="241">
        <v>1</v>
      </c>
      <c r="M19" s="464"/>
      <c r="N19" s="465"/>
      <c r="O19" s="465"/>
      <c r="P19" s="465"/>
      <c r="Q19" s="466"/>
      <c r="R19" s="463">
        <f t="shared" si="1"/>
        <v>10</v>
      </c>
      <c r="S19" s="40"/>
      <c r="T19" s="240">
        <v>1</v>
      </c>
      <c r="U19" s="464"/>
      <c r="V19" s="465"/>
      <c r="W19" s="465"/>
      <c r="X19" s="465"/>
      <c r="Y19" s="466"/>
      <c r="Z19" s="463">
        <f t="shared" si="2"/>
        <v>10</v>
      </c>
      <c r="AA19" s="463">
        <f t="shared" si="3"/>
        <v>30</v>
      </c>
      <c r="AB19" s="475"/>
      <c r="AC19" s="24"/>
      <c r="AD19" s="25"/>
      <c r="AE19" s="27"/>
      <c r="AF19" s="28"/>
    </row>
    <row r="20" spans="1:32" s="29" customFormat="1" ht="11.15" hidden="1" customHeight="1">
      <c r="A20" s="215">
        <v>14</v>
      </c>
      <c r="B20" s="204" t="str">
        <f>CONCATENATE(VLOOKUP('ОК-КАТА по баллам'!A20,Регистрация!$B$7:$N$71,3,FALSE)," ",VLOOKUP('ОК-КАТА по баллам'!A20,Регистрация!$B$7:$N$71,4,FALSE)," (",VLOOKUP('ОК-КАТА по баллам'!A20,Регистрация!$B$7:$N$71,11,FALSE),")")</f>
        <v xml:space="preserve">  ()</v>
      </c>
      <c r="C20" s="40"/>
      <c r="D20" s="242">
        <v>1</v>
      </c>
      <c r="E20" s="464"/>
      <c r="F20" s="465"/>
      <c r="G20" s="465"/>
      <c r="H20" s="465"/>
      <c r="I20" s="466"/>
      <c r="J20" s="463">
        <f t="shared" si="0"/>
        <v>10</v>
      </c>
      <c r="K20" s="40"/>
      <c r="L20" s="242">
        <v>1</v>
      </c>
      <c r="M20" s="464"/>
      <c r="N20" s="465"/>
      <c r="O20" s="465"/>
      <c r="P20" s="465"/>
      <c r="Q20" s="466"/>
      <c r="R20" s="463">
        <f t="shared" si="1"/>
        <v>10</v>
      </c>
      <c r="S20" s="40"/>
      <c r="T20" s="240">
        <v>1</v>
      </c>
      <c r="U20" s="464"/>
      <c r="V20" s="465"/>
      <c r="W20" s="465"/>
      <c r="X20" s="465"/>
      <c r="Y20" s="466"/>
      <c r="Z20" s="463">
        <f t="shared" si="2"/>
        <v>10</v>
      </c>
      <c r="AA20" s="463">
        <f t="shared" si="3"/>
        <v>30</v>
      </c>
      <c r="AB20" s="475"/>
      <c r="AC20" s="24"/>
      <c r="AD20" s="30"/>
      <c r="AE20" s="27"/>
      <c r="AF20" s="28"/>
    </row>
    <row r="21" spans="1:32" s="29" customFormat="1" ht="11.15" hidden="1" customHeight="1">
      <c r="A21" s="215">
        <v>15</v>
      </c>
      <c r="B21" s="204" t="str">
        <f>CONCATENATE(VLOOKUP('ОК-КАТА по баллам'!A21,Регистрация!$B$7:$N$71,3,FALSE)," ",VLOOKUP('ОК-КАТА по баллам'!A21,Регистрация!$B$7:$N$71,4,FALSE)," (",VLOOKUP('ОК-КАТА по баллам'!A21,Регистрация!$B$7:$N$71,11,FALSE),")")</f>
        <v xml:space="preserve">  ()</v>
      </c>
      <c r="C21" s="40"/>
      <c r="D21" s="242">
        <v>1</v>
      </c>
      <c r="E21" s="464"/>
      <c r="F21" s="465"/>
      <c r="G21" s="465"/>
      <c r="H21" s="465"/>
      <c r="I21" s="466"/>
      <c r="J21" s="463">
        <f t="shared" si="0"/>
        <v>10</v>
      </c>
      <c r="K21" s="40"/>
      <c r="L21" s="242">
        <v>1</v>
      </c>
      <c r="M21" s="464"/>
      <c r="N21" s="465"/>
      <c r="O21" s="465"/>
      <c r="P21" s="465"/>
      <c r="Q21" s="466"/>
      <c r="R21" s="463">
        <f t="shared" si="1"/>
        <v>10</v>
      </c>
      <c r="S21" s="40"/>
      <c r="T21" s="240">
        <v>1</v>
      </c>
      <c r="U21" s="464"/>
      <c r="V21" s="465"/>
      <c r="W21" s="465"/>
      <c r="X21" s="465"/>
      <c r="Y21" s="466"/>
      <c r="Z21" s="463">
        <f t="shared" si="2"/>
        <v>10</v>
      </c>
      <c r="AA21" s="463">
        <f t="shared" si="3"/>
        <v>30</v>
      </c>
      <c r="AB21" s="475"/>
      <c r="AC21" s="24"/>
      <c r="AD21" s="30"/>
      <c r="AE21" s="27"/>
      <c r="AF21" s="28"/>
    </row>
    <row r="22" spans="1:32" s="29" customFormat="1" ht="11.15" hidden="1" customHeight="1">
      <c r="A22" s="215">
        <v>16</v>
      </c>
      <c r="B22" s="204" t="str">
        <f>CONCATENATE(VLOOKUP('ОК-КАТА по баллам'!A22,Регистрация!$B$7:$N$71,3,FALSE)," ",VLOOKUP('ОК-КАТА по баллам'!A22,Регистрация!$B$7:$N$71,4,FALSE)," (",VLOOKUP('ОК-КАТА по баллам'!A22,Регистрация!$B$7:$N$71,11,FALSE),")")</f>
        <v xml:space="preserve">  ()</v>
      </c>
      <c r="C22" s="40"/>
      <c r="D22" s="242">
        <v>1</v>
      </c>
      <c r="E22" s="464"/>
      <c r="F22" s="465"/>
      <c r="G22" s="465"/>
      <c r="H22" s="465"/>
      <c r="I22" s="466"/>
      <c r="J22" s="463">
        <f t="shared" si="0"/>
        <v>10</v>
      </c>
      <c r="K22" s="40"/>
      <c r="L22" s="242">
        <v>1</v>
      </c>
      <c r="M22" s="464"/>
      <c r="N22" s="465"/>
      <c r="O22" s="465"/>
      <c r="P22" s="465"/>
      <c r="Q22" s="466"/>
      <c r="R22" s="463">
        <f t="shared" si="1"/>
        <v>10</v>
      </c>
      <c r="S22" s="40"/>
      <c r="T22" s="240">
        <v>1</v>
      </c>
      <c r="U22" s="464"/>
      <c r="V22" s="465"/>
      <c r="W22" s="465"/>
      <c r="X22" s="465"/>
      <c r="Y22" s="466"/>
      <c r="Z22" s="463">
        <f t="shared" si="2"/>
        <v>10</v>
      </c>
      <c r="AA22" s="463">
        <f t="shared" si="3"/>
        <v>30</v>
      </c>
      <c r="AB22" s="475"/>
      <c r="AC22" s="31"/>
      <c r="AD22" s="30"/>
      <c r="AE22" s="27"/>
      <c r="AF22" s="28"/>
    </row>
    <row r="23" spans="1:32" s="29" customFormat="1" ht="11.15" hidden="1" customHeight="1">
      <c r="A23" s="215">
        <v>17</v>
      </c>
      <c r="B23" s="204" t="str">
        <f>CONCATENATE(VLOOKUP('ОК-КАТА по баллам'!A23,Регистрация!$B$7:$N$71,3,FALSE)," ",VLOOKUP('ОК-КАТА по баллам'!A23,Регистрация!$B$7:$N$71,4,FALSE)," (",VLOOKUP('ОК-КАТА по баллам'!A23,Регистрация!$B$7:$N$71,11,FALSE),")")</f>
        <v xml:space="preserve">  ()</v>
      </c>
      <c r="C23" s="40"/>
      <c r="D23" s="242">
        <v>1</v>
      </c>
      <c r="E23" s="464"/>
      <c r="F23" s="465"/>
      <c r="G23" s="465"/>
      <c r="H23" s="465"/>
      <c r="I23" s="466"/>
      <c r="J23" s="463">
        <f t="shared" si="0"/>
        <v>10</v>
      </c>
      <c r="K23" s="40"/>
      <c r="L23" s="242">
        <v>1</v>
      </c>
      <c r="M23" s="464"/>
      <c r="N23" s="465"/>
      <c r="O23" s="465"/>
      <c r="P23" s="465"/>
      <c r="Q23" s="466"/>
      <c r="R23" s="463">
        <f t="shared" si="1"/>
        <v>10</v>
      </c>
      <c r="S23" s="40"/>
      <c r="T23" s="240">
        <v>1</v>
      </c>
      <c r="U23" s="464"/>
      <c r="V23" s="465"/>
      <c r="W23" s="465"/>
      <c r="X23" s="465"/>
      <c r="Y23" s="466"/>
      <c r="Z23" s="463">
        <f t="shared" si="2"/>
        <v>10</v>
      </c>
      <c r="AA23" s="463">
        <f t="shared" si="3"/>
        <v>30</v>
      </c>
      <c r="AB23" s="475"/>
      <c r="AC23" s="31"/>
      <c r="AD23" s="30"/>
      <c r="AE23" s="27"/>
      <c r="AF23" s="28"/>
    </row>
    <row r="24" spans="1:32" s="29" customFormat="1" ht="11.15" hidden="1" customHeight="1">
      <c r="A24" s="215">
        <v>18</v>
      </c>
      <c r="B24" s="204" t="str">
        <f>CONCATENATE(VLOOKUP('ОК-КАТА по баллам'!A24,Регистрация!$B$7:$N$71,3,FALSE)," ",VLOOKUP('ОК-КАТА по баллам'!A24,Регистрация!$B$7:$N$71,4,FALSE)," (",VLOOKUP('ОК-КАТА по баллам'!A24,Регистрация!$B$7:$N$71,11,FALSE),")")</f>
        <v xml:space="preserve">  ()</v>
      </c>
      <c r="C24" s="40"/>
      <c r="D24" s="242">
        <v>1</v>
      </c>
      <c r="E24" s="464"/>
      <c r="F24" s="465"/>
      <c r="G24" s="465"/>
      <c r="H24" s="465"/>
      <c r="I24" s="466"/>
      <c r="J24" s="463">
        <f t="shared" si="0"/>
        <v>10</v>
      </c>
      <c r="K24" s="40"/>
      <c r="L24" s="242">
        <v>1</v>
      </c>
      <c r="M24" s="464"/>
      <c r="N24" s="465"/>
      <c r="O24" s="465"/>
      <c r="P24" s="465"/>
      <c r="Q24" s="466"/>
      <c r="R24" s="463">
        <f t="shared" si="1"/>
        <v>10</v>
      </c>
      <c r="S24" s="40"/>
      <c r="T24" s="240">
        <v>1</v>
      </c>
      <c r="U24" s="464"/>
      <c r="V24" s="465"/>
      <c r="W24" s="465"/>
      <c r="X24" s="465"/>
      <c r="Y24" s="466"/>
      <c r="Z24" s="463">
        <f t="shared" si="2"/>
        <v>10</v>
      </c>
      <c r="AA24" s="463">
        <f t="shared" si="3"/>
        <v>30</v>
      </c>
      <c r="AB24" s="475"/>
      <c r="AC24" s="31"/>
      <c r="AD24" s="30"/>
      <c r="AE24" s="27"/>
      <c r="AF24" s="28"/>
    </row>
    <row r="25" spans="1:32" s="29" customFormat="1" ht="11.15" hidden="1" customHeight="1">
      <c r="A25" s="215">
        <v>19</v>
      </c>
      <c r="B25" s="204" t="str">
        <f>CONCATENATE(VLOOKUP('ОК-КАТА по баллам'!A25,Регистрация!$B$7:$N$71,3,FALSE)," ",VLOOKUP('ОК-КАТА по баллам'!A25,Регистрация!$B$7:$N$71,4,FALSE)," (",VLOOKUP('ОК-КАТА по баллам'!A25,Регистрация!$B$7:$N$71,11,FALSE),")")</f>
        <v xml:space="preserve">  ()</v>
      </c>
      <c r="C25" s="40"/>
      <c r="D25" s="242">
        <v>1</v>
      </c>
      <c r="E25" s="464"/>
      <c r="F25" s="465"/>
      <c r="G25" s="465"/>
      <c r="H25" s="465"/>
      <c r="I25" s="466"/>
      <c r="J25" s="463">
        <f t="shared" si="0"/>
        <v>10</v>
      </c>
      <c r="K25" s="40"/>
      <c r="L25" s="242">
        <v>1</v>
      </c>
      <c r="M25" s="464"/>
      <c r="N25" s="465"/>
      <c r="O25" s="465"/>
      <c r="P25" s="465"/>
      <c r="Q25" s="466"/>
      <c r="R25" s="463">
        <f t="shared" si="1"/>
        <v>10</v>
      </c>
      <c r="S25" s="40"/>
      <c r="T25" s="240">
        <v>1</v>
      </c>
      <c r="U25" s="464"/>
      <c r="V25" s="465"/>
      <c r="W25" s="465"/>
      <c r="X25" s="465"/>
      <c r="Y25" s="466"/>
      <c r="Z25" s="463">
        <f t="shared" si="2"/>
        <v>10</v>
      </c>
      <c r="AA25" s="463">
        <f t="shared" si="3"/>
        <v>30</v>
      </c>
      <c r="AB25" s="475"/>
      <c r="AC25" s="24"/>
      <c r="AD25" s="30"/>
      <c r="AE25" s="27"/>
      <c r="AF25" s="28"/>
    </row>
    <row r="26" spans="1:32" s="29" customFormat="1" ht="11.15" hidden="1" customHeight="1">
      <c r="A26" s="215">
        <v>20</v>
      </c>
      <c r="B26" s="204" t="str">
        <f>CONCATENATE(VLOOKUP('ОК-КАТА по баллам'!A26,Регистрация!$B$7:$N$71,3,FALSE)," ",VLOOKUP('ОК-КАТА по баллам'!A26,Регистрация!$B$7:$N$71,4,FALSE)," (",VLOOKUP('ОК-КАТА по баллам'!A26,Регистрация!$B$7:$N$71,11,FALSE),")")</f>
        <v xml:space="preserve">  ()</v>
      </c>
      <c r="C26" s="40"/>
      <c r="D26" s="242">
        <v>1</v>
      </c>
      <c r="E26" s="464"/>
      <c r="F26" s="465"/>
      <c r="G26" s="465"/>
      <c r="H26" s="465"/>
      <c r="I26" s="466"/>
      <c r="J26" s="463">
        <f t="shared" si="0"/>
        <v>10</v>
      </c>
      <c r="K26" s="40"/>
      <c r="L26" s="242">
        <v>1</v>
      </c>
      <c r="M26" s="464"/>
      <c r="N26" s="465"/>
      <c r="O26" s="465"/>
      <c r="P26" s="465"/>
      <c r="Q26" s="466"/>
      <c r="R26" s="463">
        <f t="shared" si="1"/>
        <v>10</v>
      </c>
      <c r="S26" s="40"/>
      <c r="T26" s="240">
        <v>1</v>
      </c>
      <c r="U26" s="464"/>
      <c r="V26" s="465"/>
      <c r="W26" s="465"/>
      <c r="X26" s="465"/>
      <c r="Y26" s="466"/>
      <c r="Z26" s="463">
        <f t="shared" si="2"/>
        <v>10</v>
      </c>
      <c r="AA26" s="463">
        <f t="shared" si="3"/>
        <v>30</v>
      </c>
      <c r="AB26" s="475"/>
      <c r="AC26" s="24"/>
      <c r="AD26" s="30"/>
      <c r="AE26" s="27"/>
      <c r="AF26" s="28"/>
    </row>
    <row r="27" spans="1:32" s="29" customFormat="1" ht="11.15" hidden="1" customHeight="1">
      <c r="A27" s="215">
        <v>21</v>
      </c>
      <c r="B27" s="204" t="str">
        <f>CONCATENATE(VLOOKUP('ОК-КАТА по баллам'!A27,Регистрация!$B$7:$N$71,3,FALSE)," ",VLOOKUP('ОК-КАТА по баллам'!A27,Регистрация!$B$7:$N$71,4,FALSE)," (",VLOOKUP('ОК-КАТА по баллам'!A27,Регистрация!$B$7:$N$71,11,FALSE),")")</f>
        <v xml:space="preserve">  ()</v>
      </c>
      <c r="C27" s="40"/>
      <c r="D27" s="242">
        <v>1</v>
      </c>
      <c r="E27" s="464"/>
      <c r="F27" s="465"/>
      <c r="G27" s="465"/>
      <c r="H27" s="465"/>
      <c r="I27" s="466"/>
      <c r="J27" s="463">
        <f t="shared" si="0"/>
        <v>10</v>
      </c>
      <c r="K27" s="40"/>
      <c r="L27" s="242">
        <v>1</v>
      </c>
      <c r="M27" s="464"/>
      <c r="N27" s="465"/>
      <c r="O27" s="465"/>
      <c r="P27" s="465"/>
      <c r="Q27" s="466"/>
      <c r="R27" s="463">
        <f t="shared" si="1"/>
        <v>10</v>
      </c>
      <c r="S27" s="40"/>
      <c r="T27" s="240">
        <v>1</v>
      </c>
      <c r="U27" s="464"/>
      <c r="V27" s="465"/>
      <c r="W27" s="465"/>
      <c r="X27" s="465"/>
      <c r="Y27" s="466"/>
      <c r="Z27" s="463">
        <f t="shared" si="2"/>
        <v>10</v>
      </c>
      <c r="AA27" s="463">
        <f t="shared" si="3"/>
        <v>30</v>
      </c>
      <c r="AB27" s="475"/>
      <c r="AC27" s="24"/>
      <c r="AD27" s="30"/>
      <c r="AE27" s="27"/>
      <c r="AF27" s="28"/>
    </row>
    <row r="28" spans="1:32" s="29" customFormat="1" ht="11.15" hidden="1" customHeight="1">
      <c r="A28" s="215">
        <v>22</v>
      </c>
      <c r="B28" s="204" t="str">
        <f>CONCATENATE(VLOOKUP('ОК-КАТА по баллам'!A28,Регистрация!$B$7:$N$71,3,FALSE)," ",VLOOKUP('ОК-КАТА по баллам'!A28,Регистрация!$B$7:$N$71,4,FALSE)," (",VLOOKUP('ОК-КАТА по баллам'!A28,Регистрация!$B$7:$N$71,11,FALSE),")")</f>
        <v xml:space="preserve">  ()</v>
      </c>
      <c r="C28" s="40"/>
      <c r="D28" s="242">
        <v>1</v>
      </c>
      <c r="E28" s="464"/>
      <c r="F28" s="465"/>
      <c r="G28" s="465"/>
      <c r="H28" s="465"/>
      <c r="I28" s="466"/>
      <c r="J28" s="463">
        <f t="shared" si="0"/>
        <v>10</v>
      </c>
      <c r="K28" s="40"/>
      <c r="L28" s="242">
        <v>1</v>
      </c>
      <c r="M28" s="464"/>
      <c r="N28" s="465"/>
      <c r="O28" s="465"/>
      <c r="P28" s="465"/>
      <c r="Q28" s="466"/>
      <c r="R28" s="463">
        <f t="shared" si="1"/>
        <v>10</v>
      </c>
      <c r="S28" s="40"/>
      <c r="T28" s="240">
        <v>1</v>
      </c>
      <c r="U28" s="464"/>
      <c r="V28" s="465"/>
      <c r="W28" s="465"/>
      <c r="X28" s="465"/>
      <c r="Y28" s="466"/>
      <c r="Z28" s="463">
        <f t="shared" si="2"/>
        <v>10</v>
      </c>
      <c r="AA28" s="463">
        <f t="shared" si="3"/>
        <v>30</v>
      </c>
      <c r="AB28" s="475"/>
      <c r="AC28" s="24"/>
      <c r="AD28" s="30"/>
      <c r="AE28" s="27"/>
      <c r="AF28" s="28"/>
    </row>
    <row r="29" spans="1:32" s="29" customFormat="1" ht="11.15" hidden="1" customHeight="1">
      <c r="A29" s="215">
        <v>23</v>
      </c>
      <c r="B29" s="204" t="str">
        <f>CONCATENATE(VLOOKUP('ОК-КАТА по баллам'!A29,Регистрация!$B$7:$N$71,3,FALSE)," ",VLOOKUP('ОК-КАТА по баллам'!A29,Регистрация!$B$7:$N$71,4,FALSE)," (",VLOOKUP('ОК-КАТА по баллам'!A29,Регистрация!$B$7:$N$71,11,FALSE),")")</f>
        <v xml:space="preserve">  ()</v>
      </c>
      <c r="C29" s="40"/>
      <c r="D29" s="242">
        <v>1</v>
      </c>
      <c r="E29" s="464"/>
      <c r="F29" s="465"/>
      <c r="G29" s="465"/>
      <c r="H29" s="465"/>
      <c r="I29" s="466"/>
      <c r="J29" s="463">
        <f t="shared" si="0"/>
        <v>10</v>
      </c>
      <c r="K29" s="40"/>
      <c r="L29" s="242">
        <v>1</v>
      </c>
      <c r="M29" s="464"/>
      <c r="N29" s="465"/>
      <c r="O29" s="465"/>
      <c r="P29" s="465"/>
      <c r="Q29" s="466"/>
      <c r="R29" s="463">
        <f t="shared" si="1"/>
        <v>10</v>
      </c>
      <c r="S29" s="40"/>
      <c r="T29" s="240">
        <v>1</v>
      </c>
      <c r="U29" s="464"/>
      <c r="V29" s="465"/>
      <c r="W29" s="465"/>
      <c r="X29" s="465"/>
      <c r="Y29" s="466"/>
      <c r="Z29" s="463">
        <f t="shared" si="2"/>
        <v>10</v>
      </c>
      <c r="AA29" s="463">
        <f t="shared" si="3"/>
        <v>30</v>
      </c>
      <c r="AB29" s="475"/>
      <c r="AC29" s="31"/>
      <c r="AD29" s="30"/>
      <c r="AE29" s="27"/>
      <c r="AF29" s="28"/>
    </row>
    <row r="30" spans="1:32" s="29" customFormat="1" ht="11.15" hidden="1" customHeight="1">
      <c r="A30" s="215">
        <v>24</v>
      </c>
      <c r="B30" s="204" t="str">
        <f>CONCATENATE(VLOOKUP('ОК-КАТА по баллам'!A30,Регистрация!$B$7:$N$71,3,FALSE)," ",VLOOKUP('ОК-КАТА по баллам'!A30,Регистрация!$B$7:$N$71,4,FALSE)," (",VLOOKUP('ОК-КАТА по баллам'!A30,Регистрация!$B$7:$N$71,11,FALSE),")")</f>
        <v xml:space="preserve">  ()</v>
      </c>
      <c r="C30" s="40"/>
      <c r="D30" s="242">
        <v>1</v>
      </c>
      <c r="E30" s="464"/>
      <c r="F30" s="465"/>
      <c r="G30" s="465"/>
      <c r="H30" s="465"/>
      <c r="I30" s="466"/>
      <c r="J30" s="463">
        <f t="shared" si="0"/>
        <v>10</v>
      </c>
      <c r="K30" s="40"/>
      <c r="L30" s="242">
        <v>1</v>
      </c>
      <c r="M30" s="464"/>
      <c r="N30" s="465"/>
      <c r="O30" s="465"/>
      <c r="P30" s="465"/>
      <c r="Q30" s="466"/>
      <c r="R30" s="463">
        <f t="shared" si="1"/>
        <v>10</v>
      </c>
      <c r="S30" s="40"/>
      <c r="T30" s="240">
        <v>1</v>
      </c>
      <c r="U30" s="464"/>
      <c r="V30" s="465"/>
      <c r="W30" s="465"/>
      <c r="X30" s="465"/>
      <c r="Y30" s="466"/>
      <c r="Z30" s="463">
        <f t="shared" si="2"/>
        <v>10</v>
      </c>
      <c r="AA30" s="463">
        <f t="shared" si="3"/>
        <v>30</v>
      </c>
      <c r="AB30" s="475"/>
      <c r="AC30" s="31"/>
      <c r="AD30" s="30"/>
      <c r="AE30" s="27"/>
      <c r="AF30" s="28"/>
    </row>
    <row r="31" spans="1:32" s="29" customFormat="1" ht="11.15" hidden="1" customHeight="1">
      <c r="A31" s="215">
        <v>25</v>
      </c>
      <c r="B31" s="204" t="str">
        <f>CONCATENATE(VLOOKUP('ОК-КАТА по баллам'!A31,Регистрация!$B$7:$N$71,3,FALSE)," ",VLOOKUP('ОК-КАТА по баллам'!A31,Регистрация!$B$7:$N$71,4,FALSE)," (",VLOOKUP('ОК-КАТА по баллам'!A31,Регистрация!$B$7:$N$71,11,FALSE),")")</f>
        <v xml:space="preserve">  ()</v>
      </c>
      <c r="C31" s="40"/>
      <c r="D31" s="242">
        <v>1</v>
      </c>
      <c r="E31" s="464"/>
      <c r="F31" s="465"/>
      <c r="G31" s="465"/>
      <c r="H31" s="465"/>
      <c r="I31" s="466"/>
      <c r="J31" s="463">
        <f t="shared" si="0"/>
        <v>10</v>
      </c>
      <c r="K31" s="40"/>
      <c r="L31" s="242">
        <v>1</v>
      </c>
      <c r="M31" s="464"/>
      <c r="N31" s="465"/>
      <c r="O31" s="465"/>
      <c r="P31" s="465"/>
      <c r="Q31" s="466"/>
      <c r="R31" s="463">
        <f t="shared" si="1"/>
        <v>10</v>
      </c>
      <c r="S31" s="40"/>
      <c r="T31" s="240">
        <v>1</v>
      </c>
      <c r="U31" s="464"/>
      <c r="V31" s="465"/>
      <c r="W31" s="465"/>
      <c r="X31" s="465"/>
      <c r="Y31" s="466"/>
      <c r="Z31" s="463">
        <f t="shared" si="2"/>
        <v>10</v>
      </c>
      <c r="AA31" s="463">
        <f t="shared" si="3"/>
        <v>30</v>
      </c>
      <c r="AB31" s="475"/>
      <c r="AC31" s="31"/>
      <c r="AD31" s="30"/>
      <c r="AE31" s="27"/>
      <c r="AF31" s="28"/>
    </row>
    <row r="32" spans="1:32" s="29" customFormat="1" ht="11.15" hidden="1" customHeight="1">
      <c r="A32" s="215">
        <v>26</v>
      </c>
      <c r="B32" s="204" t="str">
        <f>CONCATENATE(VLOOKUP('ОК-КАТА по баллам'!A32,Регистрация!$B$7:$N$71,3,FALSE)," ",VLOOKUP('ОК-КАТА по баллам'!A32,Регистрация!$B$7:$N$71,4,FALSE)," (",VLOOKUP('ОК-КАТА по баллам'!A32,Регистрация!$B$7:$N$71,11,FALSE),")")</f>
        <v xml:space="preserve">  ()</v>
      </c>
      <c r="C32" s="40"/>
      <c r="D32" s="242">
        <v>1</v>
      </c>
      <c r="E32" s="464"/>
      <c r="F32" s="465"/>
      <c r="G32" s="465"/>
      <c r="H32" s="465"/>
      <c r="I32" s="466"/>
      <c r="J32" s="463">
        <f t="shared" si="0"/>
        <v>10</v>
      </c>
      <c r="K32" s="40"/>
      <c r="L32" s="242">
        <v>1</v>
      </c>
      <c r="M32" s="464"/>
      <c r="N32" s="465"/>
      <c r="O32" s="465"/>
      <c r="P32" s="465"/>
      <c r="Q32" s="466"/>
      <c r="R32" s="463">
        <f t="shared" si="1"/>
        <v>10</v>
      </c>
      <c r="S32" s="40"/>
      <c r="T32" s="240">
        <v>1</v>
      </c>
      <c r="U32" s="464"/>
      <c r="V32" s="465"/>
      <c r="W32" s="465"/>
      <c r="X32" s="465"/>
      <c r="Y32" s="466"/>
      <c r="Z32" s="463">
        <f t="shared" si="2"/>
        <v>10</v>
      </c>
      <c r="AA32" s="463">
        <f t="shared" si="3"/>
        <v>30</v>
      </c>
      <c r="AB32" s="475"/>
      <c r="AC32" s="24"/>
      <c r="AD32" s="30"/>
      <c r="AE32" s="27"/>
      <c r="AF32" s="28"/>
    </row>
    <row r="33" spans="1:32" s="29" customFormat="1" ht="11.15" hidden="1" customHeight="1">
      <c r="A33" s="215">
        <v>27</v>
      </c>
      <c r="B33" s="204" t="str">
        <f>CONCATENATE(VLOOKUP('ОК-КАТА по баллам'!A33,Регистрация!$B$7:$N$71,3,FALSE)," ",VLOOKUP('ОК-КАТА по баллам'!A33,Регистрация!$B$7:$N$71,4,FALSE)," (",VLOOKUP('ОК-КАТА по баллам'!A33,Регистрация!$B$7:$N$71,11,FALSE),")")</f>
        <v xml:space="preserve">  ()</v>
      </c>
      <c r="C33" s="40"/>
      <c r="D33" s="242">
        <v>1</v>
      </c>
      <c r="E33" s="464"/>
      <c r="F33" s="465"/>
      <c r="G33" s="465"/>
      <c r="H33" s="465"/>
      <c r="I33" s="466"/>
      <c r="J33" s="463">
        <f t="shared" si="0"/>
        <v>10</v>
      </c>
      <c r="K33" s="40"/>
      <c r="L33" s="242">
        <v>1</v>
      </c>
      <c r="M33" s="464"/>
      <c r="N33" s="465"/>
      <c r="O33" s="465"/>
      <c r="P33" s="465"/>
      <c r="Q33" s="466"/>
      <c r="R33" s="463">
        <f t="shared" si="1"/>
        <v>10</v>
      </c>
      <c r="S33" s="40"/>
      <c r="T33" s="240">
        <v>1</v>
      </c>
      <c r="U33" s="464"/>
      <c r="V33" s="465"/>
      <c r="W33" s="465"/>
      <c r="X33" s="465"/>
      <c r="Y33" s="466"/>
      <c r="Z33" s="463">
        <f t="shared" si="2"/>
        <v>10</v>
      </c>
      <c r="AA33" s="463">
        <f t="shared" si="3"/>
        <v>30</v>
      </c>
      <c r="AB33" s="475"/>
      <c r="AC33" s="24"/>
      <c r="AD33" s="30"/>
      <c r="AE33" s="27"/>
      <c r="AF33" s="28"/>
    </row>
    <row r="34" spans="1:32" s="29" customFormat="1" ht="11.15" hidden="1" customHeight="1">
      <c r="A34" s="215">
        <v>28</v>
      </c>
      <c r="B34" s="204" t="str">
        <f>CONCATENATE(VLOOKUP('ОК-КАТА по баллам'!A34,Регистрация!$B$7:$N$71,3,FALSE)," ",VLOOKUP('ОК-КАТА по баллам'!A34,Регистрация!$B$7:$N$71,4,FALSE)," (",VLOOKUP('ОК-КАТА по баллам'!A34,Регистрация!$B$7:$N$71,11,FALSE),")")</f>
        <v xml:space="preserve">  ()</v>
      </c>
      <c r="C34" s="40"/>
      <c r="D34" s="242">
        <v>1</v>
      </c>
      <c r="E34" s="464"/>
      <c r="F34" s="465"/>
      <c r="G34" s="465"/>
      <c r="H34" s="465"/>
      <c r="I34" s="466"/>
      <c r="J34" s="463">
        <f t="shared" si="0"/>
        <v>10</v>
      </c>
      <c r="K34" s="40"/>
      <c r="L34" s="242">
        <v>1</v>
      </c>
      <c r="M34" s="464"/>
      <c r="N34" s="465"/>
      <c r="O34" s="465"/>
      <c r="P34" s="465"/>
      <c r="Q34" s="466"/>
      <c r="R34" s="463">
        <f t="shared" si="1"/>
        <v>10</v>
      </c>
      <c r="S34" s="40"/>
      <c r="T34" s="240">
        <v>1</v>
      </c>
      <c r="U34" s="464"/>
      <c r="V34" s="465"/>
      <c r="W34" s="465"/>
      <c r="X34" s="465"/>
      <c r="Y34" s="466"/>
      <c r="Z34" s="463">
        <f t="shared" si="2"/>
        <v>10</v>
      </c>
      <c r="AA34" s="463">
        <f t="shared" si="3"/>
        <v>30</v>
      </c>
      <c r="AB34" s="475"/>
      <c r="AC34" s="24"/>
      <c r="AD34" s="30"/>
      <c r="AE34" s="27"/>
      <c r="AF34" s="28"/>
    </row>
    <row r="35" spans="1:32" s="29" customFormat="1" ht="11.15" hidden="1" customHeight="1">
      <c r="A35" s="215">
        <v>29</v>
      </c>
      <c r="B35" s="204" t="str">
        <f>CONCATENATE(VLOOKUP('ОК-КАТА по баллам'!A35,Регистрация!$B$7:$N$71,3,FALSE)," ",VLOOKUP('ОК-КАТА по баллам'!A35,Регистрация!$B$7:$N$71,4,FALSE)," (",VLOOKUP('ОК-КАТА по баллам'!A35,Регистрация!$B$7:$N$71,11,FALSE),")")</f>
        <v xml:space="preserve">  ()</v>
      </c>
      <c r="C35" s="40"/>
      <c r="D35" s="242">
        <v>1</v>
      </c>
      <c r="E35" s="464"/>
      <c r="F35" s="465"/>
      <c r="G35" s="465"/>
      <c r="H35" s="465"/>
      <c r="I35" s="466"/>
      <c r="J35" s="463">
        <f t="shared" si="0"/>
        <v>10</v>
      </c>
      <c r="K35" s="40"/>
      <c r="L35" s="242">
        <v>1</v>
      </c>
      <c r="M35" s="464"/>
      <c r="N35" s="465"/>
      <c r="O35" s="465"/>
      <c r="P35" s="465"/>
      <c r="Q35" s="466"/>
      <c r="R35" s="463">
        <f t="shared" si="1"/>
        <v>10</v>
      </c>
      <c r="S35" s="40"/>
      <c r="T35" s="240">
        <v>1</v>
      </c>
      <c r="U35" s="464"/>
      <c r="V35" s="465"/>
      <c r="W35" s="465"/>
      <c r="X35" s="465"/>
      <c r="Y35" s="466"/>
      <c r="Z35" s="463">
        <f t="shared" si="2"/>
        <v>10</v>
      </c>
      <c r="AA35" s="463">
        <f t="shared" si="3"/>
        <v>30</v>
      </c>
      <c r="AB35" s="475"/>
      <c r="AC35" s="24"/>
      <c r="AD35" s="30"/>
      <c r="AE35" s="27"/>
      <c r="AF35" s="28"/>
    </row>
    <row r="36" spans="1:32" s="29" customFormat="1" ht="11.15" hidden="1" customHeight="1">
      <c r="A36" s="215">
        <v>30</v>
      </c>
      <c r="B36" s="204" t="str">
        <f>CONCATENATE(VLOOKUP('ОК-КАТА по баллам'!A36,Регистрация!$B$7:$N$71,3,FALSE)," ",VLOOKUP('ОК-КАТА по баллам'!A36,Регистрация!$B$7:$N$71,4,FALSE)," (",VLOOKUP('ОК-КАТА по баллам'!A36,Регистрация!$B$7:$N$71,11,FALSE),")")</f>
        <v xml:space="preserve">  ()</v>
      </c>
      <c r="C36" s="40"/>
      <c r="D36" s="242">
        <v>1</v>
      </c>
      <c r="E36" s="464"/>
      <c r="F36" s="465"/>
      <c r="G36" s="465"/>
      <c r="H36" s="465"/>
      <c r="I36" s="466"/>
      <c r="J36" s="463">
        <f t="shared" si="0"/>
        <v>10</v>
      </c>
      <c r="K36" s="40"/>
      <c r="L36" s="242">
        <v>1</v>
      </c>
      <c r="M36" s="464"/>
      <c r="N36" s="465"/>
      <c r="O36" s="465"/>
      <c r="P36" s="465"/>
      <c r="Q36" s="466"/>
      <c r="R36" s="463">
        <f t="shared" si="1"/>
        <v>10</v>
      </c>
      <c r="S36" s="40"/>
      <c r="T36" s="240">
        <v>1</v>
      </c>
      <c r="U36" s="464"/>
      <c r="V36" s="465"/>
      <c r="W36" s="465"/>
      <c r="X36" s="465"/>
      <c r="Y36" s="466"/>
      <c r="Z36" s="463">
        <f t="shared" si="2"/>
        <v>10</v>
      </c>
      <c r="AA36" s="463">
        <f t="shared" si="3"/>
        <v>30</v>
      </c>
      <c r="AB36" s="475"/>
      <c r="AC36" s="24"/>
      <c r="AD36" s="30"/>
      <c r="AE36" s="27"/>
      <c r="AF36" s="28"/>
    </row>
    <row r="37" spans="1:32" s="29" customFormat="1" ht="11.15" hidden="1" customHeight="1">
      <c r="A37" s="215">
        <v>31</v>
      </c>
      <c r="B37" s="204" t="str">
        <f>CONCATENATE(VLOOKUP('ОК-КАТА по баллам'!A37,Регистрация!$B$7:$N$71,3,FALSE)," ",VLOOKUP('ОК-КАТА по баллам'!A37,Регистрация!$B$7:$N$71,4,FALSE)," (",VLOOKUP('ОК-КАТА по баллам'!A37,Регистрация!$B$7:$N$71,11,FALSE),")")</f>
        <v xml:space="preserve">  ()</v>
      </c>
      <c r="C37" s="40"/>
      <c r="D37" s="242">
        <v>1</v>
      </c>
      <c r="E37" s="464"/>
      <c r="F37" s="465"/>
      <c r="G37" s="465"/>
      <c r="H37" s="465"/>
      <c r="I37" s="466"/>
      <c r="J37" s="463">
        <f t="shared" si="0"/>
        <v>10</v>
      </c>
      <c r="K37" s="40"/>
      <c r="L37" s="242">
        <v>1</v>
      </c>
      <c r="M37" s="464"/>
      <c r="N37" s="465"/>
      <c r="O37" s="465"/>
      <c r="P37" s="465"/>
      <c r="Q37" s="466"/>
      <c r="R37" s="463">
        <f t="shared" si="1"/>
        <v>10</v>
      </c>
      <c r="S37" s="40"/>
      <c r="T37" s="240">
        <v>1</v>
      </c>
      <c r="U37" s="464"/>
      <c r="V37" s="465"/>
      <c r="W37" s="465"/>
      <c r="X37" s="465"/>
      <c r="Y37" s="466"/>
      <c r="Z37" s="463">
        <f t="shared" si="2"/>
        <v>10</v>
      </c>
      <c r="AA37" s="463">
        <f t="shared" si="3"/>
        <v>30</v>
      </c>
      <c r="AB37" s="475"/>
      <c r="AC37" s="31"/>
      <c r="AD37" s="30"/>
      <c r="AE37" s="27"/>
      <c r="AF37" s="28"/>
    </row>
    <row r="38" spans="1:32" ht="11.15" hidden="1" customHeight="1">
      <c r="A38" s="215">
        <v>32</v>
      </c>
      <c r="B38" s="204" t="str">
        <f>CONCATENATE(VLOOKUP('ОК-КАТА по баллам'!A38,Регистрация!$B$7:$N$71,3,FALSE)," ",VLOOKUP('ОК-КАТА по баллам'!A38,Регистрация!$B$7:$N$71,4,FALSE)," (",VLOOKUP('ОК-КАТА по баллам'!A38,Регистрация!$B$7:$N$71,11,FALSE),")")</f>
        <v xml:space="preserve">  ()</v>
      </c>
      <c r="C38" s="40"/>
      <c r="D38" s="242">
        <v>1</v>
      </c>
      <c r="E38" s="464"/>
      <c r="F38" s="465"/>
      <c r="G38" s="465"/>
      <c r="H38" s="465"/>
      <c r="I38" s="466"/>
      <c r="J38" s="463">
        <f t="shared" si="0"/>
        <v>10</v>
      </c>
      <c r="K38" s="40"/>
      <c r="L38" s="242">
        <v>1</v>
      </c>
      <c r="M38" s="464"/>
      <c r="N38" s="465"/>
      <c r="O38" s="465"/>
      <c r="P38" s="465"/>
      <c r="Q38" s="466"/>
      <c r="R38" s="463">
        <f t="shared" si="1"/>
        <v>10</v>
      </c>
      <c r="S38" s="40"/>
      <c r="T38" s="240">
        <v>1</v>
      </c>
      <c r="U38" s="464"/>
      <c r="V38" s="465"/>
      <c r="W38" s="465"/>
      <c r="X38" s="465"/>
      <c r="Y38" s="466"/>
      <c r="Z38" s="463">
        <f t="shared" si="2"/>
        <v>10</v>
      </c>
      <c r="AA38" s="463">
        <f t="shared" si="3"/>
        <v>30</v>
      </c>
      <c r="AB38" s="475"/>
      <c r="AC38" s="32"/>
      <c r="AD38" s="32"/>
      <c r="AE38" s="32"/>
    </row>
    <row r="39" spans="1:32" ht="11.15" hidden="1" customHeight="1">
      <c r="A39" s="215">
        <v>33</v>
      </c>
      <c r="B39" s="204" t="str">
        <f>CONCATENATE(VLOOKUP('ОК-КАТА по баллам'!A39,Регистрация!$B$7:$N$71,3,FALSE)," ",VLOOKUP('ОК-КАТА по баллам'!A39,Регистрация!$B$7:$N$71,4,FALSE)," (",VLOOKUP('ОК-КАТА по баллам'!A39,Регистрация!$B$7:$N$71,11,FALSE),")")</f>
        <v xml:space="preserve">  ()</v>
      </c>
      <c r="C39" s="40"/>
      <c r="D39" s="242">
        <v>1</v>
      </c>
      <c r="E39" s="464"/>
      <c r="F39" s="465"/>
      <c r="G39" s="465"/>
      <c r="H39" s="465"/>
      <c r="I39" s="466"/>
      <c r="J39" s="463">
        <f t="shared" si="0"/>
        <v>10</v>
      </c>
      <c r="K39" s="40"/>
      <c r="L39" s="242">
        <v>1</v>
      </c>
      <c r="M39" s="464"/>
      <c r="N39" s="465"/>
      <c r="O39" s="465"/>
      <c r="P39" s="465"/>
      <c r="Q39" s="466"/>
      <c r="R39" s="463">
        <f t="shared" si="1"/>
        <v>10</v>
      </c>
      <c r="S39" s="40"/>
      <c r="T39" s="240">
        <v>1</v>
      </c>
      <c r="U39" s="464"/>
      <c r="V39" s="465"/>
      <c r="W39" s="465"/>
      <c r="X39" s="465"/>
      <c r="Y39" s="466"/>
      <c r="Z39" s="463">
        <f t="shared" si="2"/>
        <v>10</v>
      </c>
      <c r="AA39" s="463">
        <f t="shared" si="3"/>
        <v>30</v>
      </c>
      <c r="AB39" s="475"/>
      <c r="AC39" s="32"/>
      <c r="AD39" s="32"/>
      <c r="AE39" s="32"/>
    </row>
    <row r="40" spans="1:32" ht="11.15" hidden="1" customHeight="1">
      <c r="A40" s="215">
        <v>34</v>
      </c>
      <c r="B40" s="204" t="str">
        <f>CONCATENATE(VLOOKUP('ОК-КАТА по баллам'!A40,Регистрация!$B$7:$N$71,3,FALSE)," ",VLOOKUP('ОК-КАТА по баллам'!A40,Регистрация!$B$7:$N$71,4,FALSE)," (",VLOOKUP('ОК-КАТА по баллам'!A40,Регистрация!$B$7:$N$71,11,FALSE),")")</f>
        <v xml:space="preserve">  ()</v>
      </c>
      <c r="C40" s="40"/>
      <c r="D40" s="242">
        <v>1</v>
      </c>
      <c r="E40" s="464"/>
      <c r="F40" s="465"/>
      <c r="G40" s="465"/>
      <c r="H40" s="465"/>
      <c r="I40" s="466"/>
      <c r="J40" s="463">
        <f t="shared" si="0"/>
        <v>10</v>
      </c>
      <c r="K40" s="40"/>
      <c r="L40" s="242">
        <v>1</v>
      </c>
      <c r="M40" s="464"/>
      <c r="N40" s="465"/>
      <c r="O40" s="465"/>
      <c r="P40" s="465"/>
      <c r="Q40" s="466"/>
      <c r="R40" s="463">
        <f t="shared" si="1"/>
        <v>10</v>
      </c>
      <c r="S40" s="40"/>
      <c r="T40" s="240">
        <v>1</v>
      </c>
      <c r="U40" s="464"/>
      <c r="V40" s="465"/>
      <c r="W40" s="465"/>
      <c r="X40" s="465"/>
      <c r="Y40" s="466"/>
      <c r="Z40" s="463">
        <f t="shared" si="2"/>
        <v>10</v>
      </c>
      <c r="AA40" s="463">
        <f t="shared" si="3"/>
        <v>30</v>
      </c>
      <c r="AB40" s="475"/>
      <c r="AC40" s="32"/>
      <c r="AD40" s="32"/>
      <c r="AE40" s="32"/>
    </row>
    <row r="41" spans="1:32" ht="11.15" hidden="1" customHeight="1">
      <c r="A41" s="215">
        <v>35</v>
      </c>
      <c r="B41" s="204" t="str">
        <f>CONCATENATE(VLOOKUP('ОК-КАТА по баллам'!A41,Регистрация!$B$7:$N$71,3,FALSE)," ",VLOOKUP('ОК-КАТА по баллам'!A41,Регистрация!$B$7:$N$71,4,FALSE)," (",VLOOKUP('ОК-КАТА по баллам'!A41,Регистрация!$B$7:$N$71,11,FALSE),")")</f>
        <v xml:space="preserve">  ()</v>
      </c>
      <c r="C41" s="40"/>
      <c r="D41" s="242">
        <v>1</v>
      </c>
      <c r="E41" s="464"/>
      <c r="F41" s="465"/>
      <c r="G41" s="465"/>
      <c r="H41" s="465"/>
      <c r="I41" s="466"/>
      <c r="J41" s="463">
        <f t="shared" si="0"/>
        <v>10</v>
      </c>
      <c r="K41" s="40"/>
      <c r="L41" s="242">
        <v>1</v>
      </c>
      <c r="M41" s="464"/>
      <c r="N41" s="465"/>
      <c r="O41" s="465"/>
      <c r="P41" s="465"/>
      <c r="Q41" s="466"/>
      <c r="R41" s="463">
        <f t="shared" si="1"/>
        <v>10</v>
      </c>
      <c r="S41" s="40"/>
      <c r="T41" s="240">
        <v>1</v>
      </c>
      <c r="U41" s="464"/>
      <c r="V41" s="465"/>
      <c r="W41" s="465"/>
      <c r="X41" s="465"/>
      <c r="Y41" s="466"/>
      <c r="Z41" s="463">
        <f t="shared" si="2"/>
        <v>10</v>
      </c>
      <c r="AA41" s="463">
        <f t="shared" si="3"/>
        <v>30</v>
      </c>
      <c r="AB41" s="475"/>
      <c r="AC41" s="32"/>
      <c r="AD41" s="32"/>
      <c r="AE41" s="32"/>
    </row>
    <row r="42" spans="1:32" ht="11.15" hidden="1" customHeight="1">
      <c r="A42" s="215">
        <v>36</v>
      </c>
      <c r="B42" s="204" t="str">
        <f>CONCATENATE(VLOOKUP('ОК-КАТА по баллам'!A42,Регистрация!$B$7:$N$71,3,FALSE)," ",VLOOKUP('ОК-КАТА по баллам'!A42,Регистрация!$B$7:$N$71,4,FALSE)," (",VLOOKUP('ОК-КАТА по баллам'!A42,Регистрация!$B$7:$N$71,11,FALSE),")")</f>
        <v xml:space="preserve">  ()</v>
      </c>
      <c r="C42" s="40"/>
      <c r="D42" s="242">
        <v>1</v>
      </c>
      <c r="E42" s="464"/>
      <c r="F42" s="465"/>
      <c r="G42" s="465"/>
      <c r="H42" s="465"/>
      <c r="I42" s="466"/>
      <c r="J42" s="463">
        <f t="shared" si="0"/>
        <v>10</v>
      </c>
      <c r="K42" s="40"/>
      <c r="L42" s="242">
        <v>1</v>
      </c>
      <c r="M42" s="464"/>
      <c r="N42" s="465"/>
      <c r="O42" s="465"/>
      <c r="P42" s="465"/>
      <c r="Q42" s="466"/>
      <c r="R42" s="463">
        <f t="shared" si="1"/>
        <v>10</v>
      </c>
      <c r="S42" s="40"/>
      <c r="T42" s="240">
        <v>1</v>
      </c>
      <c r="U42" s="464"/>
      <c r="V42" s="465"/>
      <c r="W42" s="465"/>
      <c r="X42" s="465"/>
      <c r="Y42" s="466"/>
      <c r="Z42" s="463">
        <f t="shared" si="2"/>
        <v>10</v>
      </c>
      <c r="AA42" s="463">
        <f t="shared" si="3"/>
        <v>30</v>
      </c>
      <c r="AB42" s="475"/>
      <c r="AC42" s="32"/>
      <c r="AD42" s="32"/>
      <c r="AE42" s="32"/>
    </row>
    <row r="43" spans="1:32" ht="11.15" hidden="1" customHeight="1">
      <c r="A43" s="215">
        <v>37</v>
      </c>
      <c r="B43" s="204" t="str">
        <f>CONCATENATE(VLOOKUP('ОК-КАТА по баллам'!A43,Регистрация!$B$7:$N$71,3,FALSE)," ",VLOOKUP('ОК-КАТА по баллам'!A43,Регистрация!$B$7:$N$71,4,FALSE)," (",VLOOKUP('ОК-КАТА по баллам'!A43,Регистрация!$B$7:$N$71,11,FALSE),")")</f>
        <v xml:space="preserve">  ()</v>
      </c>
      <c r="C43" s="40"/>
      <c r="D43" s="242">
        <v>1</v>
      </c>
      <c r="E43" s="464"/>
      <c r="F43" s="465"/>
      <c r="G43" s="465"/>
      <c r="H43" s="465"/>
      <c r="I43" s="466"/>
      <c r="J43" s="463">
        <f t="shared" si="0"/>
        <v>10</v>
      </c>
      <c r="K43" s="40"/>
      <c r="L43" s="242">
        <v>1</v>
      </c>
      <c r="M43" s="464"/>
      <c r="N43" s="465"/>
      <c r="O43" s="465"/>
      <c r="P43" s="465"/>
      <c r="Q43" s="466"/>
      <c r="R43" s="463">
        <f t="shared" si="1"/>
        <v>10</v>
      </c>
      <c r="S43" s="40"/>
      <c r="T43" s="240">
        <v>1</v>
      </c>
      <c r="U43" s="464"/>
      <c r="V43" s="465"/>
      <c r="W43" s="465"/>
      <c r="X43" s="465"/>
      <c r="Y43" s="466"/>
      <c r="Z43" s="463">
        <f t="shared" si="2"/>
        <v>10</v>
      </c>
      <c r="AA43" s="463">
        <f t="shared" si="3"/>
        <v>30</v>
      </c>
      <c r="AB43" s="475"/>
      <c r="AC43" s="32"/>
      <c r="AD43" s="32"/>
      <c r="AE43" s="32"/>
    </row>
    <row r="44" spans="1:32" ht="11.15" hidden="1" customHeight="1">
      <c r="A44" s="215">
        <v>38</v>
      </c>
      <c r="B44" s="204" t="str">
        <f>CONCATENATE(VLOOKUP('ОК-КАТА по баллам'!A44,Регистрация!$B$7:$N$71,3,FALSE)," ",VLOOKUP('ОК-КАТА по баллам'!A44,Регистрация!$B$7:$N$71,4,FALSE)," (",VLOOKUP('ОК-КАТА по баллам'!A44,Регистрация!$B$7:$N$71,11,FALSE),")")</f>
        <v xml:space="preserve">  ()</v>
      </c>
      <c r="C44" s="40"/>
      <c r="D44" s="242">
        <v>1</v>
      </c>
      <c r="E44" s="464"/>
      <c r="F44" s="465"/>
      <c r="G44" s="465"/>
      <c r="H44" s="465"/>
      <c r="I44" s="466"/>
      <c r="J44" s="463">
        <f t="shared" si="0"/>
        <v>10</v>
      </c>
      <c r="K44" s="40"/>
      <c r="L44" s="242">
        <v>1</v>
      </c>
      <c r="M44" s="464"/>
      <c r="N44" s="465"/>
      <c r="O44" s="465"/>
      <c r="P44" s="465"/>
      <c r="Q44" s="466"/>
      <c r="R44" s="463">
        <f t="shared" si="1"/>
        <v>10</v>
      </c>
      <c r="S44" s="40"/>
      <c r="T44" s="240">
        <v>1</v>
      </c>
      <c r="U44" s="464"/>
      <c r="V44" s="465"/>
      <c r="W44" s="465"/>
      <c r="X44" s="465"/>
      <c r="Y44" s="466"/>
      <c r="Z44" s="463">
        <f t="shared" si="2"/>
        <v>10</v>
      </c>
      <c r="AA44" s="463">
        <f t="shared" si="3"/>
        <v>30</v>
      </c>
      <c r="AB44" s="475"/>
      <c r="AC44" s="32"/>
      <c r="AD44" s="32"/>
      <c r="AE44" s="32"/>
    </row>
    <row r="45" spans="1:32" ht="11.15" hidden="1" customHeight="1">
      <c r="A45" s="215">
        <v>39</v>
      </c>
      <c r="B45" s="204" t="str">
        <f>CONCATENATE(VLOOKUP('ОК-КАТА по баллам'!A45,Регистрация!$B$7:$N$71,3,FALSE)," ",VLOOKUP('ОК-КАТА по баллам'!A45,Регистрация!$B$7:$N$71,4,FALSE)," (",VLOOKUP('ОК-КАТА по баллам'!A45,Регистрация!$B$7:$N$71,11,FALSE),")")</f>
        <v xml:space="preserve">  ()</v>
      </c>
      <c r="C45" s="40"/>
      <c r="D45" s="242">
        <v>1</v>
      </c>
      <c r="E45" s="464"/>
      <c r="F45" s="465"/>
      <c r="G45" s="465"/>
      <c r="H45" s="465"/>
      <c r="I45" s="466"/>
      <c r="J45" s="463">
        <f t="shared" si="0"/>
        <v>10</v>
      </c>
      <c r="K45" s="40"/>
      <c r="L45" s="242">
        <v>1</v>
      </c>
      <c r="M45" s="464"/>
      <c r="N45" s="465"/>
      <c r="O45" s="465"/>
      <c r="P45" s="465"/>
      <c r="Q45" s="466"/>
      <c r="R45" s="463">
        <f t="shared" si="1"/>
        <v>10</v>
      </c>
      <c r="S45" s="40"/>
      <c r="T45" s="240">
        <v>1</v>
      </c>
      <c r="U45" s="464"/>
      <c r="V45" s="465"/>
      <c r="W45" s="465"/>
      <c r="X45" s="465"/>
      <c r="Y45" s="466"/>
      <c r="Z45" s="463">
        <f t="shared" si="2"/>
        <v>10</v>
      </c>
      <c r="AA45" s="463">
        <f t="shared" si="3"/>
        <v>30</v>
      </c>
      <c r="AB45" s="475"/>
      <c r="AC45" s="32"/>
      <c r="AD45" s="32"/>
      <c r="AE45" s="32"/>
    </row>
    <row r="46" spans="1:32" ht="11.15" hidden="1" customHeight="1">
      <c r="A46" s="215">
        <v>40</v>
      </c>
      <c r="B46" s="204" t="str">
        <f>CONCATENATE(VLOOKUP('ОК-КАТА по баллам'!A46,Регистрация!$B$7:$N$71,3,FALSE)," ",VLOOKUP('ОК-КАТА по баллам'!A46,Регистрация!$B$7:$N$71,4,FALSE)," (",VLOOKUP('ОК-КАТА по баллам'!A46,Регистрация!$B$7:$N$71,11,FALSE),")")</f>
        <v xml:space="preserve">  ()</v>
      </c>
      <c r="C46" s="40"/>
      <c r="D46" s="242">
        <v>1</v>
      </c>
      <c r="E46" s="464"/>
      <c r="F46" s="465"/>
      <c r="G46" s="465"/>
      <c r="H46" s="465"/>
      <c r="I46" s="466"/>
      <c r="J46" s="463">
        <f t="shared" si="0"/>
        <v>10</v>
      </c>
      <c r="K46" s="40"/>
      <c r="L46" s="242">
        <v>1</v>
      </c>
      <c r="M46" s="464"/>
      <c r="N46" s="465"/>
      <c r="O46" s="465"/>
      <c r="P46" s="465"/>
      <c r="Q46" s="466"/>
      <c r="R46" s="463">
        <f t="shared" si="1"/>
        <v>10</v>
      </c>
      <c r="S46" s="40"/>
      <c r="T46" s="240">
        <v>1</v>
      </c>
      <c r="U46" s="464"/>
      <c r="V46" s="465"/>
      <c r="W46" s="465"/>
      <c r="X46" s="465"/>
      <c r="Y46" s="466"/>
      <c r="Z46" s="463">
        <f t="shared" si="2"/>
        <v>10</v>
      </c>
      <c r="AA46" s="463">
        <f t="shared" si="3"/>
        <v>30</v>
      </c>
      <c r="AB46" s="475"/>
      <c r="AC46" s="32"/>
      <c r="AD46" s="32"/>
      <c r="AE46" s="32"/>
    </row>
    <row r="47" spans="1:32" ht="11.15" hidden="1" customHeight="1">
      <c r="A47" s="215">
        <v>41</v>
      </c>
      <c r="B47" s="204" t="str">
        <f>CONCATENATE(VLOOKUP('ОК-КАТА по баллам'!A47,Регистрация!$B$7:$N$71,3,FALSE)," ",VLOOKUP('ОК-КАТА по баллам'!A47,Регистрация!$B$7:$N$71,4,FALSE)," (",VLOOKUP('ОК-КАТА по баллам'!A47,Регистрация!$B$7:$N$71,11,FALSE),")")</f>
        <v xml:space="preserve">  ()</v>
      </c>
      <c r="C47" s="40"/>
      <c r="D47" s="242">
        <v>1</v>
      </c>
      <c r="E47" s="464"/>
      <c r="F47" s="465"/>
      <c r="G47" s="465"/>
      <c r="H47" s="465"/>
      <c r="I47" s="466"/>
      <c r="J47" s="463">
        <f t="shared" si="0"/>
        <v>10</v>
      </c>
      <c r="K47" s="40"/>
      <c r="L47" s="242">
        <v>1</v>
      </c>
      <c r="M47" s="464"/>
      <c r="N47" s="465"/>
      <c r="O47" s="465"/>
      <c r="P47" s="465"/>
      <c r="Q47" s="466"/>
      <c r="R47" s="463">
        <f t="shared" si="1"/>
        <v>10</v>
      </c>
      <c r="S47" s="40"/>
      <c r="T47" s="240">
        <v>1</v>
      </c>
      <c r="U47" s="464"/>
      <c r="V47" s="465"/>
      <c r="W47" s="465"/>
      <c r="X47" s="465"/>
      <c r="Y47" s="466"/>
      <c r="Z47" s="463">
        <f t="shared" si="2"/>
        <v>10</v>
      </c>
      <c r="AA47" s="463">
        <f t="shared" si="3"/>
        <v>30</v>
      </c>
      <c r="AB47" s="475"/>
      <c r="AC47" s="32"/>
      <c r="AD47" s="32"/>
      <c r="AE47" s="32"/>
    </row>
    <row r="48" spans="1:32" ht="11.15" hidden="1" customHeight="1">
      <c r="A48" s="215">
        <v>42</v>
      </c>
      <c r="B48" s="204" t="str">
        <f>CONCATENATE(VLOOKUP('ОК-КАТА по баллам'!A48,Регистрация!$B$7:$N$71,3,FALSE)," ",VLOOKUP('ОК-КАТА по баллам'!A48,Регистрация!$B$7:$N$71,4,FALSE)," (",VLOOKUP('ОК-КАТА по баллам'!A48,Регистрация!$B$7:$N$71,11,FALSE),")")</f>
        <v xml:space="preserve">  ()</v>
      </c>
      <c r="C48" s="40"/>
      <c r="D48" s="242">
        <v>1</v>
      </c>
      <c r="E48" s="464"/>
      <c r="F48" s="465"/>
      <c r="G48" s="465"/>
      <c r="H48" s="465"/>
      <c r="I48" s="466"/>
      <c r="J48" s="463">
        <f t="shared" si="0"/>
        <v>10</v>
      </c>
      <c r="K48" s="40"/>
      <c r="L48" s="242">
        <v>1</v>
      </c>
      <c r="M48" s="464"/>
      <c r="N48" s="465"/>
      <c r="O48" s="465"/>
      <c r="P48" s="465"/>
      <c r="Q48" s="466"/>
      <c r="R48" s="463">
        <f t="shared" si="1"/>
        <v>10</v>
      </c>
      <c r="S48" s="40"/>
      <c r="T48" s="240">
        <v>1</v>
      </c>
      <c r="U48" s="464"/>
      <c r="V48" s="465"/>
      <c r="W48" s="465"/>
      <c r="X48" s="465"/>
      <c r="Y48" s="466"/>
      <c r="Z48" s="463">
        <f t="shared" si="2"/>
        <v>10</v>
      </c>
      <c r="AA48" s="463">
        <f t="shared" si="3"/>
        <v>30</v>
      </c>
      <c r="AB48" s="475"/>
      <c r="AC48" s="32"/>
      <c r="AD48" s="32"/>
      <c r="AE48" s="32"/>
    </row>
    <row r="49" spans="1:31" ht="11.15" hidden="1" customHeight="1">
      <c r="A49" s="215">
        <v>43</v>
      </c>
      <c r="B49" s="204" t="str">
        <f>CONCATENATE(VLOOKUP('ОК-КАТА по баллам'!A49,Регистрация!$B$7:$N$71,3,FALSE)," ",VLOOKUP('ОК-КАТА по баллам'!A49,Регистрация!$B$7:$N$71,4,FALSE)," (",VLOOKUP('ОК-КАТА по баллам'!A49,Регистрация!$B$7:$N$71,11,FALSE),")")</f>
        <v xml:space="preserve">  ()</v>
      </c>
      <c r="C49" s="40"/>
      <c r="D49" s="242">
        <v>1</v>
      </c>
      <c r="E49" s="464"/>
      <c r="F49" s="465"/>
      <c r="G49" s="465"/>
      <c r="H49" s="465"/>
      <c r="I49" s="466"/>
      <c r="J49" s="463">
        <f t="shared" si="0"/>
        <v>10</v>
      </c>
      <c r="K49" s="40"/>
      <c r="L49" s="242">
        <v>1</v>
      </c>
      <c r="M49" s="464"/>
      <c r="N49" s="465"/>
      <c r="O49" s="465"/>
      <c r="P49" s="465"/>
      <c r="Q49" s="466"/>
      <c r="R49" s="463">
        <f t="shared" si="1"/>
        <v>10</v>
      </c>
      <c r="S49" s="40"/>
      <c r="T49" s="240">
        <v>1</v>
      </c>
      <c r="U49" s="464"/>
      <c r="V49" s="465"/>
      <c r="W49" s="465"/>
      <c r="X49" s="465"/>
      <c r="Y49" s="466"/>
      <c r="Z49" s="463">
        <f t="shared" si="2"/>
        <v>10</v>
      </c>
      <c r="AA49" s="463">
        <f t="shared" si="3"/>
        <v>30</v>
      </c>
      <c r="AB49" s="475"/>
      <c r="AC49" s="32"/>
      <c r="AD49" s="32"/>
      <c r="AE49" s="32"/>
    </row>
    <row r="50" spans="1:31" ht="11.15" hidden="1" customHeight="1">
      <c r="A50" s="215">
        <v>44</v>
      </c>
      <c r="B50" s="204" t="str">
        <f>CONCATENATE(VLOOKUP('ОК-КАТА по баллам'!A50,Регистрация!$B$7:$N$71,3,FALSE)," ",VLOOKUP('ОК-КАТА по баллам'!A50,Регистрация!$B$7:$N$71,4,FALSE)," (",VLOOKUP('ОК-КАТА по баллам'!A50,Регистрация!$B$7:$N$71,11,FALSE),")")</f>
        <v xml:space="preserve">  ()</v>
      </c>
      <c r="C50" s="40"/>
      <c r="D50" s="242">
        <v>1</v>
      </c>
      <c r="E50" s="464"/>
      <c r="F50" s="465"/>
      <c r="G50" s="465"/>
      <c r="H50" s="465"/>
      <c r="I50" s="466"/>
      <c r="J50" s="463">
        <f t="shared" si="0"/>
        <v>10</v>
      </c>
      <c r="K50" s="40"/>
      <c r="L50" s="242">
        <v>1</v>
      </c>
      <c r="M50" s="464"/>
      <c r="N50" s="465"/>
      <c r="O50" s="465"/>
      <c r="P50" s="465"/>
      <c r="Q50" s="466"/>
      <c r="R50" s="463">
        <f t="shared" si="1"/>
        <v>10</v>
      </c>
      <c r="S50" s="40"/>
      <c r="T50" s="240">
        <v>1</v>
      </c>
      <c r="U50" s="464"/>
      <c r="V50" s="465"/>
      <c r="W50" s="465"/>
      <c r="X50" s="465"/>
      <c r="Y50" s="466"/>
      <c r="Z50" s="463">
        <f t="shared" si="2"/>
        <v>10</v>
      </c>
      <c r="AA50" s="463">
        <f t="shared" si="3"/>
        <v>30</v>
      </c>
      <c r="AB50" s="475"/>
      <c r="AC50" s="32"/>
      <c r="AD50" s="32"/>
      <c r="AE50" s="32"/>
    </row>
    <row r="51" spans="1:31" ht="11.15" hidden="1" customHeight="1">
      <c r="A51" s="215">
        <v>45</v>
      </c>
      <c r="B51" s="204" t="str">
        <f>CONCATENATE(VLOOKUP('ОК-КАТА по баллам'!A51,Регистрация!$B$7:$N$71,3,FALSE)," ",VLOOKUP('ОК-КАТА по баллам'!A51,Регистрация!$B$7:$N$71,4,FALSE)," (",VLOOKUP('ОК-КАТА по баллам'!A51,Регистрация!$B$7:$N$71,11,FALSE),")")</f>
        <v xml:space="preserve">  ()</v>
      </c>
      <c r="C51" s="40"/>
      <c r="D51" s="242">
        <v>1</v>
      </c>
      <c r="E51" s="464"/>
      <c r="F51" s="465"/>
      <c r="G51" s="465"/>
      <c r="H51" s="465"/>
      <c r="I51" s="466"/>
      <c r="J51" s="463">
        <f t="shared" si="0"/>
        <v>10</v>
      </c>
      <c r="K51" s="40"/>
      <c r="L51" s="242">
        <v>1</v>
      </c>
      <c r="M51" s="464"/>
      <c r="N51" s="465"/>
      <c r="O51" s="465"/>
      <c r="P51" s="465"/>
      <c r="Q51" s="466"/>
      <c r="R51" s="463">
        <f t="shared" si="1"/>
        <v>10</v>
      </c>
      <c r="S51" s="40"/>
      <c r="T51" s="240">
        <v>1</v>
      </c>
      <c r="U51" s="464"/>
      <c r="V51" s="465"/>
      <c r="W51" s="465"/>
      <c r="X51" s="465"/>
      <c r="Y51" s="466"/>
      <c r="Z51" s="463">
        <f t="shared" si="2"/>
        <v>10</v>
      </c>
      <c r="AA51" s="463">
        <f t="shared" si="3"/>
        <v>30</v>
      </c>
      <c r="AB51" s="475"/>
      <c r="AC51" s="32"/>
      <c r="AD51" s="32"/>
      <c r="AE51" s="32"/>
    </row>
    <row r="52" spans="1:31" ht="11.15" hidden="1" customHeight="1">
      <c r="A52" s="215">
        <v>46</v>
      </c>
      <c r="B52" s="204" t="str">
        <f>CONCATENATE(VLOOKUP('ОК-КАТА по баллам'!A52,Регистрация!$B$7:$N$71,3,FALSE)," ",VLOOKUP('ОК-КАТА по баллам'!A52,Регистрация!$B$7:$N$71,4,FALSE)," (",VLOOKUP('ОК-КАТА по баллам'!A52,Регистрация!$B$7:$N$71,11,FALSE),")")</f>
        <v xml:space="preserve">  ()</v>
      </c>
      <c r="C52" s="40"/>
      <c r="D52" s="242">
        <v>1</v>
      </c>
      <c r="E52" s="464"/>
      <c r="F52" s="465"/>
      <c r="G52" s="465"/>
      <c r="H52" s="465"/>
      <c r="I52" s="466"/>
      <c r="J52" s="463">
        <f t="shared" si="0"/>
        <v>10</v>
      </c>
      <c r="K52" s="40"/>
      <c r="L52" s="242">
        <v>1</v>
      </c>
      <c r="M52" s="464"/>
      <c r="N52" s="465"/>
      <c r="O52" s="465"/>
      <c r="P52" s="465"/>
      <c r="Q52" s="466"/>
      <c r="R52" s="463">
        <f t="shared" si="1"/>
        <v>10</v>
      </c>
      <c r="S52" s="40"/>
      <c r="T52" s="240">
        <v>1</v>
      </c>
      <c r="U52" s="464"/>
      <c r="V52" s="465"/>
      <c r="W52" s="465"/>
      <c r="X52" s="465"/>
      <c r="Y52" s="466"/>
      <c r="Z52" s="463">
        <f t="shared" si="2"/>
        <v>10</v>
      </c>
      <c r="AA52" s="463">
        <f t="shared" si="3"/>
        <v>30</v>
      </c>
      <c r="AB52" s="475"/>
      <c r="AC52" s="32"/>
      <c r="AD52" s="32"/>
      <c r="AE52" s="32"/>
    </row>
    <row r="53" spans="1:31" ht="11.15" hidden="1" customHeight="1">
      <c r="A53" s="215">
        <v>47</v>
      </c>
      <c r="B53" s="204" t="str">
        <f>CONCATENATE(VLOOKUP('ОК-КАТА по баллам'!A53,Регистрация!$B$7:$N$71,3,FALSE)," ",VLOOKUP('ОК-КАТА по баллам'!A53,Регистрация!$B$7:$N$71,4,FALSE)," (",VLOOKUP('ОК-КАТА по баллам'!A53,Регистрация!$B$7:$N$71,11,FALSE),")")</f>
        <v xml:space="preserve">  ()</v>
      </c>
      <c r="C53" s="40"/>
      <c r="D53" s="242">
        <v>1</v>
      </c>
      <c r="E53" s="464"/>
      <c r="F53" s="465"/>
      <c r="G53" s="465"/>
      <c r="H53" s="465"/>
      <c r="I53" s="466"/>
      <c r="J53" s="463">
        <f t="shared" si="0"/>
        <v>10</v>
      </c>
      <c r="K53" s="40"/>
      <c r="L53" s="242">
        <v>1</v>
      </c>
      <c r="M53" s="464"/>
      <c r="N53" s="465"/>
      <c r="O53" s="465"/>
      <c r="P53" s="465"/>
      <c r="Q53" s="466"/>
      <c r="R53" s="463">
        <f t="shared" si="1"/>
        <v>10</v>
      </c>
      <c r="S53" s="40"/>
      <c r="T53" s="240">
        <v>1</v>
      </c>
      <c r="U53" s="464"/>
      <c r="V53" s="465"/>
      <c r="W53" s="465"/>
      <c r="X53" s="465"/>
      <c r="Y53" s="466"/>
      <c r="Z53" s="463">
        <f t="shared" si="2"/>
        <v>10</v>
      </c>
      <c r="AA53" s="463">
        <f t="shared" si="3"/>
        <v>30</v>
      </c>
      <c r="AB53" s="475"/>
      <c r="AC53" s="32"/>
      <c r="AD53" s="32"/>
      <c r="AE53" s="32"/>
    </row>
    <row r="54" spans="1:31" ht="11.15" hidden="1" customHeight="1">
      <c r="A54" s="215">
        <v>48</v>
      </c>
      <c r="B54" s="204" t="str">
        <f>CONCATENATE(VLOOKUP('ОК-КАТА по баллам'!A54,Регистрация!$B$7:$N$71,3,FALSE)," ",VLOOKUP('ОК-КАТА по баллам'!A54,Регистрация!$B$7:$N$71,4,FALSE)," (",VLOOKUP('ОК-КАТА по баллам'!A54,Регистрация!$B$7:$N$71,11,FALSE),")")</f>
        <v xml:space="preserve">  ()</v>
      </c>
      <c r="C54" s="40"/>
      <c r="D54" s="242">
        <v>1</v>
      </c>
      <c r="E54" s="464"/>
      <c r="F54" s="465"/>
      <c r="G54" s="465"/>
      <c r="H54" s="465"/>
      <c r="I54" s="466"/>
      <c r="J54" s="463">
        <f t="shared" si="0"/>
        <v>10</v>
      </c>
      <c r="K54" s="40"/>
      <c r="L54" s="242">
        <v>1</v>
      </c>
      <c r="M54" s="464"/>
      <c r="N54" s="465"/>
      <c r="O54" s="465"/>
      <c r="P54" s="465"/>
      <c r="Q54" s="466"/>
      <c r="R54" s="463">
        <f t="shared" si="1"/>
        <v>10</v>
      </c>
      <c r="S54" s="40"/>
      <c r="T54" s="240">
        <v>1</v>
      </c>
      <c r="U54" s="464"/>
      <c r="V54" s="465"/>
      <c r="W54" s="465"/>
      <c r="X54" s="465"/>
      <c r="Y54" s="466"/>
      <c r="Z54" s="463">
        <f t="shared" si="2"/>
        <v>10</v>
      </c>
      <c r="AA54" s="463">
        <f t="shared" si="3"/>
        <v>30</v>
      </c>
      <c r="AB54" s="475"/>
      <c r="AC54" s="32"/>
      <c r="AD54" s="32"/>
      <c r="AE54" s="32"/>
    </row>
    <row r="55" spans="1:31" ht="11.15" hidden="1" customHeight="1">
      <c r="A55" s="215">
        <v>49</v>
      </c>
      <c r="B55" s="204" t="str">
        <f>CONCATENATE(VLOOKUP('ОК-КАТА по баллам'!A55,Регистрация!$B$7:$N$71,3,FALSE)," ",VLOOKUP('ОК-КАТА по баллам'!A55,Регистрация!$B$7:$N$71,4,FALSE)," (",VLOOKUP('ОК-КАТА по баллам'!A55,Регистрация!$B$7:$N$71,11,FALSE),")")</f>
        <v xml:space="preserve">  ()</v>
      </c>
      <c r="C55" s="40"/>
      <c r="D55" s="242">
        <v>1</v>
      </c>
      <c r="E55" s="464"/>
      <c r="F55" s="465"/>
      <c r="G55" s="465"/>
      <c r="H55" s="465"/>
      <c r="I55" s="466"/>
      <c r="J55" s="463">
        <f t="shared" si="0"/>
        <v>10</v>
      </c>
      <c r="K55" s="40"/>
      <c r="L55" s="242">
        <v>1</v>
      </c>
      <c r="M55" s="464"/>
      <c r="N55" s="465"/>
      <c r="O55" s="465"/>
      <c r="P55" s="465"/>
      <c r="Q55" s="466"/>
      <c r="R55" s="463">
        <f t="shared" si="1"/>
        <v>10</v>
      </c>
      <c r="S55" s="40"/>
      <c r="T55" s="240">
        <v>1</v>
      </c>
      <c r="U55" s="464"/>
      <c r="V55" s="465"/>
      <c r="W55" s="465"/>
      <c r="X55" s="465"/>
      <c r="Y55" s="466"/>
      <c r="Z55" s="463">
        <f t="shared" si="2"/>
        <v>10</v>
      </c>
      <c r="AA55" s="463">
        <f t="shared" si="3"/>
        <v>30</v>
      </c>
      <c r="AB55" s="475"/>
      <c r="AC55" s="32"/>
      <c r="AD55" s="32"/>
      <c r="AE55" s="32"/>
    </row>
    <row r="56" spans="1:31" ht="11.15" hidden="1" customHeight="1">
      <c r="A56" s="215">
        <v>50</v>
      </c>
      <c r="B56" s="204" t="str">
        <f>CONCATENATE(VLOOKUP('ОК-КАТА по баллам'!A56,Регистрация!$B$7:$N$71,3,FALSE)," ",VLOOKUP('ОК-КАТА по баллам'!A56,Регистрация!$B$7:$N$71,4,FALSE)," (",VLOOKUP('ОК-КАТА по баллам'!A56,Регистрация!$B$7:$N$71,11,FALSE),")")</f>
        <v xml:space="preserve">  ()</v>
      </c>
      <c r="C56" s="40"/>
      <c r="D56" s="242">
        <v>1</v>
      </c>
      <c r="E56" s="464"/>
      <c r="F56" s="465"/>
      <c r="G56" s="465"/>
      <c r="H56" s="465"/>
      <c r="I56" s="466"/>
      <c r="J56" s="463">
        <f t="shared" si="0"/>
        <v>10</v>
      </c>
      <c r="K56" s="40"/>
      <c r="L56" s="242">
        <v>1</v>
      </c>
      <c r="M56" s="464"/>
      <c r="N56" s="465"/>
      <c r="O56" s="465"/>
      <c r="P56" s="465"/>
      <c r="Q56" s="466"/>
      <c r="R56" s="463">
        <f t="shared" si="1"/>
        <v>10</v>
      </c>
      <c r="S56" s="40"/>
      <c r="T56" s="240">
        <v>1</v>
      </c>
      <c r="U56" s="464"/>
      <c r="V56" s="465"/>
      <c r="W56" s="465"/>
      <c r="X56" s="465"/>
      <c r="Y56" s="466"/>
      <c r="Z56" s="463">
        <f t="shared" si="2"/>
        <v>10</v>
      </c>
      <c r="AA56" s="463">
        <f t="shared" si="3"/>
        <v>30</v>
      </c>
      <c r="AB56" s="475"/>
      <c r="AC56" s="32"/>
      <c r="AD56" s="32"/>
      <c r="AE56" s="32"/>
    </row>
    <row r="57" spans="1:31" ht="11.15" hidden="1" customHeight="1">
      <c r="A57" s="215">
        <v>51</v>
      </c>
      <c r="B57" s="204" t="str">
        <f>CONCATENATE(VLOOKUP('ОК-КАТА по баллам'!A57,Регистрация!$B$7:$N$71,3,FALSE)," ",VLOOKUP('ОК-КАТА по баллам'!A57,Регистрация!$B$7:$N$71,4,FALSE)," (",VLOOKUP('ОК-КАТА по баллам'!A57,Регистрация!$B$7:$N$71,11,FALSE),")")</f>
        <v xml:space="preserve">  ()</v>
      </c>
      <c r="C57" s="40"/>
      <c r="D57" s="242">
        <v>1</v>
      </c>
      <c r="E57" s="464"/>
      <c r="F57" s="465"/>
      <c r="G57" s="465"/>
      <c r="H57" s="465"/>
      <c r="I57" s="466"/>
      <c r="J57" s="463">
        <f t="shared" si="0"/>
        <v>10</v>
      </c>
      <c r="K57" s="40"/>
      <c r="L57" s="242">
        <v>1</v>
      </c>
      <c r="M57" s="464"/>
      <c r="N57" s="465"/>
      <c r="O57" s="465"/>
      <c r="P57" s="465"/>
      <c r="Q57" s="466"/>
      <c r="R57" s="463">
        <f t="shared" si="1"/>
        <v>10</v>
      </c>
      <c r="S57" s="40"/>
      <c r="T57" s="240">
        <v>1</v>
      </c>
      <c r="U57" s="464"/>
      <c r="V57" s="465"/>
      <c r="W57" s="465"/>
      <c r="X57" s="465"/>
      <c r="Y57" s="466"/>
      <c r="Z57" s="463">
        <f t="shared" si="2"/>
        <v>10</v>
      </c>
      <c r="AA57" s="463">
        <f t="shared" si="3"/>
        <v>30</v>
      </c>
      <c r="AB57" s="475"/>
      <c r="AC57" s="32"/>
      <c r="AD57" s="32"/>
      <c r="AE57" s="32"/>
    </row>
    <row r="58" spans="1:31" ht="11.15" hidden="1" customHeight="1">
      <c r="A58" s="215">
        <v>52</v>
      </c>
      <c r="B58" s="204" t="str">
        <f>CONCATENATE(VLOOKUP('ОК-КАТА по баллам'!A58,Регистрация!$B$7:$N$71,3,FALSE)," ",VLOOKUP('ОК-КАТА по баллам'!A58,Регистрация!$B$7:$N$71,4,FALSE)," (",VLOOKUP('ОК-КАТА по баллам'!A58,Регистрация!$B$7:$N$71,11,FALSE),")")</f>
        <v xml:space="preserve">  ()</v>
      </c>
      <c r="C58" s="40"/>
      <c r="D58" s="242">
        <v>1</v>
      </c>
      <c r="E58" s="464"/>
      <c r="F58" s="465"/>
      <c r="G58" s="465"/>
      <c r="H58" s="465"/>
      <c r="I58" s="466"/>
      <c r="J58" s="463">
        <f t="shared" si="0"/>
        <v>10</v>
      </c>
      <c r="K58" s="40"/>
      <c r="L58" s="242">
        <v>1</v>
      </c>
      <c r="M58" s="464"/>
      <c r="N58" s="465"/>
      <c r="O58" s="465"/>
      <c r="P58" s="465"/>
      <c r="Q58" s="466"/>
      <c r="R58" s="463">
        <f t="shared" si="1"/>
        <v>10</v>
      </c>
      <c r="S58" s="40"/>
      <c r="T58" s="240">
        <v>1</v>
      </c>
      <c r="U58" s="464"/>
      <c r="V58" s="465"/>
      <c r="W58" s="465"/>
      <c r="X58" s="465"/>
      <c r="Y58" s="466"/>
      <c r="Z58" s="463">
        <f t="shared" si="2"/>
        <v>10</v>
      </c>
      <c r="AA58" s="463">
        <f t="shared" si="3"/>
        <v>30</v>
      </c>
      <c r="AB58" s="475"/>
      <c r="AC58" s="32"/>
      <c r="AD58" s="32"/>
      <c r="AE58" s="32"/>
    </row>
    <row r="59" spans="1:31" ht="11.15" hidden="1" customHeight="1">
      <c r="A59" s="215">
        <v>53</v>
      </c>
      <c r="B59" s="204" t="str">
        <f>CONCATENATE(VLOOKUP('ОК-КАТА по баллам'!A59,Регистрация!$B$7:$N$71,3,FALSE)," ",VLOOKUP('ОК-КАТА по баллам'!A59,Регистрация!$B$7:$N$71,4,FALSE)," (",VLOOKUP('ОК-КАТА по баллам'!A59,Регистрация!$B$7:$N$71,11,FALSE),")")</f>
        <v xml:space="preserve">  ()</v>
      </c>
      <c r="C59" s="40"/>
      <c r="D59" s="242">
        <v>1</v>
      </c>
      <c r="E59" s="464"/>
      <c r="F59" s="465"/>
      <c r="G59" s="465"/>
      <c r="H59" s="465"/>
      <c r="I59" s="466"/>
      <c r="J59" s="463">
        <f t="shared" si="0"/>
        <v>10</v>
      </c>
      <c r="K59" s="40"/>
      <c r="L59" s="242">
        <v>1</v>
      </c>
      <c r="M59" s="464"/>
      <c r="N59" s="465"/>
      <c r="O59" s="465"/>
      <c r="P59" s="465"/>
      <c r="Q59" s="466"/>
      <c r="R59" s="463">
        <f t="shared" si="1"/>
        <v>10</v>
      </c>
      <c r="S59" s="40"/>
      <c r="T59" s="240">
        <v>1</v>
      </c>
      <c r="U59" s="464"/>
      <c r="V59" s="465"/>
      <c r="W59" s="465"/>
      <c r="X59" s="465"/>
      <c r="Y59" s="466"/>
      <c r="Z59" s="463">
        <f t="shared" si="2"/>
        <v>10</v>
      </c>
      <c r="AA59" s="463">
        <f t="shared" si="3"/>
        <v>30</v>
      </c>
      <c r="AB59" s="475"/>
      <c r="AC59" s="32"/>
      <c r="AD59" s="32"/>
      <c r="AE59" s="32"/>
    </row>
    <row r="60" spans="1:31" ht="11.15" hidden="1" customHeight="1">
      <c r="A60" s="215">
        <v>54</v>
      </c>
      <c r="B60" s="204" t="str">
        <f>CONCATENATE(VLOOKUP('ОК-КАТА по баллам'!A60,Регистрация!$B$7:$N$71,3,FALSE)," ",VLOOKUP('ОК-КАТА по баллам'!A60,Регистрация!$B$7:$N$71,4,FALSE)," (",VLOOKUP('ОК-КАТА по баллам'!A60,Регистрация!$B$7:$N$71,11,FALSE),")")</f>
        <v xml:space="preserve">  ()</v>
      </c>
      <c r="C60" s="40"/>
      <c r="D60" s="242">
        <v>1</v>
      </c>
      <c r="E60" s="464"/>
      <c r="F60" s="465"/>
      <c r="G60" s="465"/>
      <c r="H60" s="465"/>
      <c r="I60" s="466"/>
      <c r="J60" s="463">
        <f t="shared" si="0"/>
        <v>10</v>
      </c>
      <c r="K60" s="40"/>
      <c r="L60" s="242">
        <v>1</v>
      </c>
      <c r="M60" s="464"/>
      <c r="N60" s="465"/>
      <c r="O60" s="465"/>
      <c r="P60" s="465"/>
      <c r="Q60" s="466"/>
      <c r="R60" s="463">
        <f t="shared" si="1"/>
        <v>10</v>
      </c>
      <c r="S60" s="40"/>
      <c r="T60" s="240">
        <v>1</v>
      </c>
      <c r="U60" s="464"/>
      <c r="V60" s="465"/>
      <c r="W60" s="465"/>
      <c r="X60" s="465"/>
      <c r="Y60" s="466"/>
      <c r="Z60" s="463">
        <f t="shared" si="2"/>
        <v>10</v>
      </c>
      <c r="AA60" s="463">
        <f t="shared" si="3"/>
        <v>30</v>
      </c>
      <c r="AB60" s="475"/>
      <c r="AC60" s="32"/>
      <c r="AD60" s="32"/>
      <c r="AE60" s="32"/>
    </row>
    <row r="61" spans="1:31" ht="11.15" hidden="1" customHeight="1">
      <c r="A61" s="215">
        <v>55</v>
      </c>
      <c r="B61" s="204" t="str">
        <f>CONCATENATE(VLOOKUP('ОК-КАТА по баллам'!A61,Регистрация!$B$7:$N$71,3,FALSE)," ",VLOOKUP('ОК-КАТА по баллам'!A61,Регистрация!$B$7:$N$71,4,FALSE)," (",VLOOKUP('ОК-КАТА по баллам'!A61,Регистрация!$B$7:$N$71,11,FALSE),")")</f>
        <v xml:space="preserve">  ()</v>
      </c>
      <c r="C61" s="40"/>
      <c r="D61" s="242">
        <v>1</v>
      </c>
      <c r="E61" s="464"/>
      <c r="F61" s="465"/>
      <c r="G61" s="465"/>
      <c r="H61" s="465"/>
      <c r="I61" s="466"/>
      <c r="J61" s="463">
        <f t="shared" si="0"/>
        <v>10</v>
      </c>
      <c r="K61" s="40"/>
      <c r="L61" s="242">
        <v>1</v>
      </c>
      <c r="M61" s="464"/>
      <c r="N61" s="465"/>
      <c r="O61" s="465"/>
      <c r="P61" s="465"/>
      <c r="Q61" s="466"/>
      <c r="R61" s="463">
        <f t="shared" si="1"/>
        <v>10</v>
      </c>
      <c r="S61" s="40"/>
      <c r="T61" s="240">
        <v>1</v>
      </c>
      <c r="U61" s="464"/>
      <c r="V61" s="465"/>
      <c r="W61" s="465"/>
      <c r="X61" s="465"/>
      <c r="Y61" s="466"/>
      <c r="Z61" s="463">
        <f t="shared" si="2"/>
        <v>10</v>
      </c>
      <c r="AA61" s="463">
        <f t="shared" si="3"/>
        <v>30</v>
      </c>
      <c r="AB61" s="475"/>
      <c r="AC61" s="32"/>
      <c r="AD61" s="32"/>
      <c r="AE61" s="32"/>
    </row>
    <row r="62" spans="1:31" ht="11.15" hidden="1" customHeight="1">
      <c r="A62" s="215">
        <v>56</v>
      </c>
      <c r="B62" s="204" t="str">
        <f>CONCATENATE(VLOOKUP('ОК-КАТА по баллам'!A62,Регистрация!$B$7:$N$71,3,FALSE)," ",VLOOKUP('ОК-КАТА по баллам'!A62,Регистрация!$B$7:$N$71,4,FALSE)," (",VLOOKUP('ОК-КАТА по баллам'!A62,Регистрация!$B$7:$N$71,11,FALSE),")")</f>
        <v xml:space="preserve">  ()</v>
      </c>
      <c r="C62" s="40"/>
      <c r="D62" s="242">
        <v>1</v>
      </c>
      <c r="E62" s="464"/>
      <c r="F62" s="465"/>
      <c r="G62" s="465"/>
      <c r="H62" s="465"/>
      <c r="I62" s="466"/>
      <c r="J62" s="463">
        <f t="shared" si="0"/>
        <v>10</v>
      </c>
      <c r="K62" s="40"/>
      <c r="L62" s="242">
        <v>1</v>
      </c>
      <c r="M62" s="464"/>
      <c r="N62" s="465"/>
      <c r="O62" s="465"/>
      <c r="P62" s="465"/>
      <c r="Q62" s="466"/>
      <c r="R62" s="463">
        <f t="shared" si="1"/>
        <v>10</v>
      </c>
      <c r="S62" s="40"/>
      <c r="T62" s="240">
        <v>1</v>
      </c>
      <c r="U62" s="464"/>
      <c r="V62" s="465"/>
      <c r="W62" s="465"/>
      <c r="X62" s="465"/>
      <c r="Y62" s="466"/>
      <c r="Z62" s="463">
        <f t="shared" si="2"/>
        <v>10</v>
      </c>
      <c r="AA62" s="463">
        <f t="shared" si="3"/>
        <v>30</v>
      </c>
      <c r="AB62" s="475"/>
      <c r="AC62" s="32"/>
      <c r="AD62" s="32"/>
      <c r="AE62" s="32"/>
    </row>
    <row r="63" spans="1:31" ht="11.15" hidden="1" customHeight="1">
      <c r="A63" s="215">
        <v>57</v>
      </c>
      <c r="B63" s="204" t="str">
        <f>CONCATENATE(VLOOKUP('ОК-КАТА по баллам'!A63,Регистрация!$B$7:$N$71,3,FALSE)," ",VLOOKUP('ОК-КАТА по баллам'!A63,Регистрация!$B$7:$N$71,4,FALSE)," (",VLOOKUP('ОК-КАТА по баллам'!A63,Регистрация!$B$7:$N$71,11,FALSE),")")</f>
        <v xml:space="preserve">  ()</v>
      </c>
      <c r="C63" s="40"/>
      <c r="D63" s="242">
        <v>1</v>
      </c>
      <c r="E63" s="464"/>
      <c r="F63" s="465"/>
      <c r="G63" s="465"/>
      <c r="H63" s="465"/>
      <c r="I63" s="466"/>
      <c r="J63" s="463">
        <f t="shared" si="0"/>
        <v>10</v>
      </c>
      <c r="K63" s="40"/>
      <c r="L63" s="242">
        <v>1</v>
      </c>
      <c r="M63" s="464"/>
      <c r="N63" s="465"/>
      <c r="O63" s="465"/>
      <c r="P63" s="465"/>
      <c r="Q63" s="466"/>
      <c r="R63" s="463">
        <f t="shared" si="1"/>
        <v>10</v>
      </c>
      <c r="S63" s="40"/>
      <c r="T63" s="240">
        <v>1</v>
      </c>
      <c r="U63" s="464"/>
      <c r="V63" s="465"/>
      <c r="W63" s="465"/>
      <c r="X63" s="465"/>
      <c r="Y63" s="466"/>
      <c r="Z63" s="463">
        <f t="shared" si="2"/>
        <v>10</v>
      </c>
      <c r="AA63" s="463">
        <f t="shared" si="3"/>
        <v>30</v>
      </c>
      <c r="AB63" s="475"/>
      <c r="AC63" s="32"/>
      <c r="AD63" s="32"/>
      <c r="AE63" s="32"/>
    </row>
    <row r="64" spans="1:31" ht="11.15" hidden="1" customHeight="1">
      <c r="A64" s="215">
        <v>58</v>
      </c>
      <c r="B64" s="204" t="str">
        <f>CONCATENATE(VLOOKUP('ОК-КАТА по баллам'!A64,Регистрация!$B$7:$N$71,3,FALSE)," ",VLOOKUP('ОК-КАТА по баллам'!A64,Регистрация!$B$7:$N$71,4,FALSE)," (",VLOOKUP('ОК-КАТА по баллам'!A64,Регистрация!$B$7:$N$71,11,FALSE),")")</f>
        <v xml:space="preserve">  ()</v>
      </c>
      <c r="C64" s="40"/>
      <c r="D64" s="242">
        <v>1</v>
      </c>
      <c r="E64" s="464"/>
      <c r="F64" s="465"/>
      <c r="G64" s="465"/>
      <c r="H64" s="465"/>
      <c r="I64" s="466"/>
      <c r="J64" s="463">
        <f t="shared" si="0"/>
        <v>10</v>
      </c>
      <c r="K64" s="40"/>
      <c r="L64" s="242">
        <v>1</v>
      </c>
      <c r="M64" s="464"/>
      <c r="N64" s="465"/>
      <c r="O64" s="465"/>
      <c r="P64" s="465"/>
      <c r="Q64" s="466"/>
      <c r="R64" s="463">
        <f t="shared" si="1"/>
        <v>10</v>
      </c>
      <c r="S64" s="40"/>
      <c r="T64" s="240">
        <v>1</v>
      </c>
      <c r="U64" s="464"/>
      <c r="V64" s="465"/>
      <c r="W64" s="465"/>
      <c r="X64" s="465"/>
      <c r="Y64" s="466"/>
      <c r="Z64" s="463">
        <f t="shared" si="2"/>
        <v>10</v>
      </c>
      <c r="AA64" s="463">
        <f t="shared" si="3"/>
        <v>30</v>
      </c>
      <c r="AB64" s="475"/>
      <c r="AC64" s="32"/>
      <c r="AD64" s="32"/>
      <c r="AE64" s="32"/>
    </row>
    <row r="65" spans="1:31" ht="11.15" hidden="1" customHeight="1">
      <c r="A65" s="215">
        <v>59</v>
      </c>
      <c r="B65" s="204" t="str">
        <f>CONCATENATE(VLOOKUP('ОК-КАТА по баллам'!A65,Регистрация!$B$7:$N$71,3,FALSE)," ",VLOOKUP('ОК-КАТА по баллам'!A65,Регистрация!$B$7:$N$71,4,FALSE)," (",VLOOKUP('ОК-КАТА по баллам'!A65,Регистрация!$B$7:$N$71,11,FALSE),")")</f>
        <v xml:space="preserve">  ()</v>
      </c>
      <c r="C65" s="40"/>
      <c r="D65" s="242">
        <v>1</v>
      </c>
      <c r="E65" s="464"/>
      <c r="F65" s="465"/>
      <c r="G65" s="465"/>
      <c r="H65" s="465"/>
      <c r="I65" s="466"/>
      <c r="J65" s="463">
        <f t="shared" si="0"/>
        <v>10</v>
      </c>
      <c r="K65" s="40"/>
      <c r="L65" s="242">
        <v>1</v>
      </c>
      <c r="M65" s="464"/>
      <c r="N65" s="465"/>
      <c r="O65" s="465"/>
      <c r="P65" s="465"/>
      <c r="Q65" s="466"/>
      <c r="R65" s="463">
        <f t="shared" si="1"/>
        <v>10</v>
      </c>
      <c r="S65" s="40"/>
      <c r="T65" s="240">
        <v>1</v>
      </c>
      <c r="U65" s="464"/>
      <c r="V65" s="465"/>
      <c r="W65" s="465"/>
      <c r="X65" s="465"/>
      <c r="Y65" s="466"/>
      <c r="Z65" s="463">
        <f t="shared" si="2"/>
        <v>10</v>
      </c>
      <c r="AA65" s="463">
        <f t="shared" si="3"/>
        <v>30</v>
      </c>
      <c r="AB65" s="475"/>
      <c r="AC65" s="32"/>
      <c r="AD65" s="32"/>
      <c r="AE65" s="32"/>
    </row>
    <row r="66" spans="1:31" ht="11.15" hidden="1" customHeight="1">
      <c r="A66" s="215">
        <v>60</v>
      </c>
      <c r="B66" s="204" t="str">
        <f>CONCATENATE(VLOOKUP('ОК-КАТА по баллам'!A66,Регистрация!$B$7:$N$71,3,FALSE)," ",VLOOKUP('ОК-КАТА по баллам'!A66,Регистрация!$B$7:$N$71,4,FALSE)," (",VLOOKUP('ОК-КАТА по баллам'!A66,Регистрация!$B$7:$N$71,11,FALSE),")")</f>
        <v xml:space="preserve">  ()</v>
      </c>
      <c r="C66" s="40"/>
      <c r="D66" s="242">
        <v>1</v>
      </c>
      <c r="E66" s="464"/>
      <c r="F66" s="465"/>
      <c r="G66" s="465"/>
      <c r="H66" s="465"/>
      <c r="I66" s="466"/>
      <c r="J66" s="463">
        <f t="shared" si="0"/>
        <v>10</v>
      </c>
      <c r="K66" s="40"/>
      <c r="L66" s="242">
        <v>1</v>
      </c>
      <c r="M66" s="464"/>
      <c r="N66" s="465"/>
      <c r="O66" s="465"/>
      <c r="P66" s="465"/>
      <c r="Q66" s="466"/>
      <c r="R66" s="463">
        <f t="shared" si="1"/>
        <v>10</v>
      </c>
      <c r="S66" s="40"/>
      <c r="T66" s="240">
        <v>1</v>
      </c>
      <c r="U66" s="464"/>
      <c r="V66" s="465"/>
      <c r="W66" s="465"/>
      <c r="X66" s="465"/>
      <c r="Y66" s="466"/>
      <c r="Z66" s="463">
        <f t="shared" si="2"/>
        <v>10</v>
      </c>
      <c r="AA66" s="463">
        <f t="shared" si="3"/>
        <v>30</v>
      </c>
      <c r="AB66" s="475"/>
      <c r="AC66" s="32"/>
      <c r="AD66" s="32"/>
      <c r="AE66" s="32"/>
    </row>
    <row r="67" spans="1:31" ht="11.15" hidden="1" customHeight="1">
      <c r="A67" s="215">
        <v>61</v>
      </c>
      <c r="B67" s="204" t="str">
        <f>CONCATENATE(VLOOKUP('ОК-КАТА по баллам'!A67,Регистрация!$B$7:$N$71,3,FALSE)," ",VLOOKUP('ОК-КАТА по баллам'!A67,Регистрация!$B$7:$N$71,4,FALSE)," (",VLOOKUP('ОК-КАТА по баллам'!A67,Регистрация!$B$7:$N$71,11,FALSE),")")</f>
        <v xml:space="preserve">  ()</v>
      </c>
      <c r="C67" s="40"/>
      <c r="D67" s="242">
        <v>1</v>
      </c>
      <c r="E67" s="464"/>
      <c r="F67" s="465"/>
      <c r="G67" s="465"/>
      <c r="H67" s="465"/>
      <c r="I67" s="466"/>
      <c r="J67" s="463">
        <f t="shared" si="0"/>
        <v>10</v>
      </c>
      <c r="K67" s="40"/>
      <c r="L67" s="242">
        <v>1</v>
      </c>
      <c r="M67" s="464"/>
      <c r="N67" s="465"/>
      <c r="O67" s="465"/>
      <c r="P67" s="465"/>
      <c r="Q67" s="466"/>
      <c r="R67" s="463">
        <f t="shared" si="1"/>
        <v>10</v>
      </c>
      <c r="S67" s="40"/>
      <c r="T67" s="240">
        <v>1</v>
      </c>
      <c r="U67" s="464"/>
      <c r="V67" s="465"/>
      <c r="W67" s="465"/>
      <c r="X67" s="465"/>
      <c r="Y67" s="466"/>
      <c r="Z67" s="463">
        <f t="shared" si="2"/>
        <v>10</v>
      </c>
      <c r="AA67" s="463">
        <f t="shared" si="3"/>
        <v>30</v>
      </c>
      <c r="AB67" s="475"/>
      <c r="AC67" s="32"/>
      <c r="AD67" s="32"/>
      <c r="AE67" s="32"/>
    </row>
    <row r="68" spans="1:31" ht="11.15" hidden="1" customHeight="1">
      <c r="A68" s="215">
        <v>62</v>
      </c>
      <c r="B68" s="204" t="str">
        <f>CONCATENATE(VLOOKUP('ОК-КАТА по баллам'!A68,Регистрация!$B$7:$N$71,3,FALSE)," ",VLOOKUP('ОК-КАТА по баллам'!A68,Регистрация!$B$7:$N$71,4,FALSE)," (",VLOOKUP('ОК-КАТА по баллам'!A68,Регистрация!$B$7:$N$71,11,FALSE),")")</f>
        <v xml:space="preserve">  ()</v>
      </c>
      <c r="C68" s="40"/>
      <c r="D68" s="242">
        <v>1</v>
      </c>
      <c r="E68" s="464"/>
      <c r="F68" s="465"/>
      <c r="G68" s="465"/>
      <c r="H68" s="465"/>
      <c r="I68" s="466"/>
      <c r="J68" s="463">
        <f t="shared" si="0"/>
        <v>10</v>
      </c>
      <c r="K68" s="40"/>
      <c r="L68" s="242">
        <v>1</v>
      </c>
      <c r="M68" s="464"/>
      <c r="N68" s="465"/>
      <c r="O68" s="465"/>
      <c r="P68" s="465"/>
      <c r="Q68" s="466"/>
      <c r="R68" s="463">
        <f t="shared" si="1"/>
        <v>10</v>
      </c>
      <c r="S68" s="40"/>
      <c r="T68" s="240">
        <v>1</v>
      </c>
      <c r="U68" s="464"/>
      <c r="V68" s="465"/>
      <c r="W68" s="465"/>
      <c r="X68" s="465"/>
      <c r="Y68" s="466"/>
      <c r="Z68" s="463">
        <f t="shared" si="2"/>
        <v>10</v>
      </c>
      <c r="AA68" s="463">
        <f t="shared" si="3"/>
        <v>30</v>
      </c>
      <c r="AB68" s="475"/>
      <c r="AC68" s="32"/>
      <c r="AD68" s="32"/>
      <c r="AE68" s="32"/>
    </row>
    <row r="69" spans="1:31" ht="11.15" hidden="1" customHeight="1">
      <c r="A69" s="215">
        <v>63</v>
      </c>
      <c r="B69" s="204" t="str">
        <f>CONCATENATE(VLOOKUP('ОК-КАТА по баллам'!A69,Регистрация!$B$7:$N$71,3,FALSE)," ",VLOOKUP('ОК-КАТА по баллам'!A69,Регистрация!$B$7:$N$71,4,FALSE)," (",VLOOKUP('ОК-КАТА по баллам'!A69,Регистрация!$B$7:$N$71,11,FALSE),")")</f>
        <v xml:space="preserve">  ()</v>
      </c>
      <c r="C69" s="40"/>
      <c r="D69" s="242">
        <v>1</v>
      </c>
      <c r="E69" s="464"/>
      <c r="F69" s="465"/>
      <c r="G69" s="465"/>
      <c r="H69" s="465"/>
      <c r="I69" s="466"/>
      <c r="J69" s="463">
        <f t="shared" si="0"/>
        <v>10</v>
      </c>
      <c r="K69" s="40"/>
      <c r="L69" s="242">
        <v>1</v>
      </c>
      <c r="M69" s="464"/>
      <c r="N69" s="465"/>
      <c r="O69" s="465"/>
      <c r="P69" s="465"/>
      <c r="Q69" s="466"/>
      <c r="R69" s="463">
        <f t="shared" si="1"/>
        <v>10</v>
      </c>
      <c r="S69" s="40"/>
      <c r="T69" s="240">
        <v>1</v>
      </c>
      <c r="U69" s="464"/>
      <c r="V69" s="465"/>
      <c r="W69" s="465"/>
      <c r="X69" s="465"/>
      <c r="Y69" s="466"/>
      <c r="Z69" s="463">
        <f t="shared" si="2"/>
        <v>10</v>
      </c>
      <c r="AA69" s="463">
        <f t="shared" si="3"/>
        <v>30</v>
      </c>
      <c r="AB69" s="475"/>
      <c r="AC69" s="32"/>
      <c r="AD69" s="32"/>
      <c r="AE69" s="32"/>
    </row>
    <row r="70" spans="1:31" ht="11.15" hidden="1" customHeight="1">
      <c r="A70" s="216">
        <v>64</v>
      </c>
      <c r="B70" s="205" t="e">
        <f>CONCATENATE(VLOOKUP('ОК-КАТА по баллам'!A70,Регистрация!$B$7:$N$71,3,FALSE)," ",VLOOKUP('ОК-КАТА по баллам'!A70,Регистрация!$B$7:$N$71,4,FALSE)," (",VLOOKUP('ОК-КАТА по баллам'!A70,Регистрация!$B$7:$N$71,11,FALSE),")")</f>
        <v>#N/A</v>
      </c>
      <c r="C70" s="41"/>
      <c r="D70" s="243">
        <v>1</v>
      </c>
      <c r="E70" s="467"/>
      <c r="F70" s="468"/>
      <c r="G70" s="468"/>
      <c r="H70" s="468"/>
      <c r="I70" s="469"/>
      <c r="J70" s="463">
        <f t="shared" si="0"/>
        <v>10</v>
      </c>
      <c r="K70" s="41"/>
      <c r="L70" s="243">
        <v>1</v>
      </c>
      <c r="M70" s="467"/>
      <c r="N70" s="468"/>
      <c r="O70" s="468"/>
      <c r="P70" s="468"/>
      <c r="Q70" s="469"/>
      <c r="R70" s="473">
        <f t="shared" si="1"/>
        <v>10</v>
      </c>
      <c r="S70" s="41"/>
      <c r="T70" s="247">
        <v>1</v>
      </c>
      <c r="U70" s="467"/>
      <c r="V70" s="468"/>
      <c r="W70" s="468"/>
      <c r="X70" s="468"/>
      <c r="Y70" s="469"/>
      <c r="Z70" s="473">
        <f t="shared" si="2"/>
        <v>10</v>
      </c>
      <c r="AA70" s="472">
        <f t="shared" si="3"/>
        <v>30</v>
      </c>
      <c r="AB70" s="476"/>
      <c r="AC70" s="32"/>
      <c r="AD70" s="32"/>
      <c r="AE70" s="32"/>
    </row>
    <row r="71" spans="1:31" ht="6.75" customHeight="1"/>
    <row r="72" spans="1:31" ht="13">
      <c r="B72" s="229" t="str">
        <f>Регистрация!F73</f>
        <v>Главный судья:</v>
      </c>
      <c r="C72" s="217"/>
      <c r="D72" s="217"/>
      <c r="E72" s="217"/>
      <c r="F72" s="217"/>
      <c r="G72" s="217"/>
      <c r="H72" s="217"/>
      <c r="I72" s="217"/>
      <c r="J72" s="217"/>
      <c r="K72" s="230"/>
      <c r="L72" s="230"/>
      <c r="M72" s="230"/>
      <c r="N72" s="231"/>
      <c r="O72" s="230"/>
      <c r="P72" s="665" t="str">
        <f>Регистрация!N73</f>
        <v>Цыльев В.А. С1К</v>
      </c>
      <c r="Q72" s="665"/>
      <c r="R72" s="665"/>
      <c r="S72" s="665"/>
      <c r="T72" s="665"/>
      <c r="U72" s="665"/>
      <c r="V72" s="665"/>
      <c r="W72" s="665"/>
      <c r="X72" s="665"/>
      <c r="Y72" s="665"/>
      <c r="Z72" s="665"/>
      <c r="AA72" s="665"/>
      <c r="AB72" s="665"/>
    </row>
    <row r="73" spans="1:31" ht="13">
      <c r="B73" s="229"/>
      <c r="C73" s="228"/>
      <c r="D73" s="228"/>
      <c r="E73" s="228"/>
      <c r="F73" s="227"/>
      <c r="G73" s="227"/>
      <c r="H73" s="227"/>
      <c r="I73" s="227"/>
      <c r="J73" s="227"/>
      <c r="K73" s="227"/>
      <c r="L73" s="227"/>
      <c r="M73" s="227"/>
    </row>
    <row r="74" spans="1:31" ht="13">
      <c r="B74" s="229" t="str">
        <f>Регистрация!F74</f>
        <v>Главный секретерь:</v>
      </c>
      <c r="C74" s="217"/>
      <c r="D74" s="217"/>
      <c r="E74" s="217"/>
      <c r="F74" s="217"/>
      <c r="G74" s="217"/>
      <c r="H74" s="217"/>
      <c r="I74" s="217"/>
      <c r="J74" s="217"/>
      <c r="K74" s="230"/>
      <c r="L74" s="230"/>
      <c r="M74" s="230"/>
      <c r="N74" s="217"/>
      <c r="O74" s="230"/>
      <c r="P74" s="665" t="str">
        <f>Регистрация!N74</f>
        <v>Орлова Е.С 3 К</v>
      </c>
      <c r="Q74" s="665"/>
      <c r="R74" s="665"/>
      <c r="S74" s="665"/>
      <c r="T74" s="665"/>
      <c r="U74" s="665"/>
      <c r="V74" s="665"/>
      <c r="W74" s="665"/>
      <c r="X74" s="665"/>
      <c r="Y74" s="665"/>
      <c r="Z74" s="665"/>
      <c r="AA74" s="665"/>
      <c r="AB74" s="665"/>
    </row>
  </sheetData>
  <mergeCells count="15">
    <mergeCell ref="P72:AB72"/>
    <mergeCell ref="P74:AB74"/>
    <mergeCell ref="A4:AB4"/>
    <mergeCell ref="C5:J5"/>
    <mergeCell ref="K5:R5"/>
    <mergeCell ref="S5:Z5"/>
    <mergeCell ref="E6:I6"/>
    <mergeCell ref="M6:Q6"/>
    <mergeCell ref="U6:Y6"/>
    <mergeCell ref="A1:AB1"/>
    <mergeCell ref="A2:AB2"/>
    <mergeCell ref="A3:E3"/>
    <mergeCell ref="F3:S3"/>
    <mergeCell ref="U3:Y3"/>
    <mergeCell ref="Z3:AB3"/>
  </mergeCells>
  <pageMargins left="0.77" right="0.21" top="0.13" bottom="0.18" header="0.11" footer="0.16"/>
  <pageSetup paperSize="9" orientation="landscape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5"/>
  <dimension ref="A1:AC107"/>
  <sheetViews>
    <sheetView showGridLines="0" showZeros="0" workbookViewId="0">
      <selection activeCell="X79" sqref="X79"/>
    </sheetView>
  </sheetViews>
  <sheetFormatPr defaultColWidth="9.1796875" defaultRowHeight="12.5"/>
  <cols>
    <col min="1" max="1" width="1.54296875" style="20" customWidth="1"/>
    <col min="2" max="2" width="27.81640625" style="21" customWidth="1"/>
    <col min="3" max="3" width="3.81640625" style="21" customWidth="1"/>
    <col min="4" max="9" width="2.81640625" style="21" customWidth="1"/>
    <col min="10" max="10" width="3.54296875" style="21" customWidth="1"/>
    <col min="11" max="16" width="2.81640625" style="21" customWidth="1"/>
    <col min="17" max="17" width="3.54296875" style="21" customWidth="1"/>
    <col min="18" max="23" width="2.81640625" style="21" customWidth="1"/>
    <col min="24" max="24" width="3.7265625" style="21" customWidth="1"/>
    <col min="25" max="25" width="4.54296875" style="21" customWidth="1"/>
    <col min="26" max="28" width="7" style="21" customWidth="1"/>
    <col min="29" max="29" width="1.54296875" style="20" customWidth="1"/>
    <col min="30" max="30" width="9" style="21" customWidth="1"/>
    <col min="31" max="16384" width="9.1796875" style="21"/>
  </cols>
  <sheetData>
    <row r="1" spans="1:29" ht="13.5" customHeight="1">
      <c r="A1" s="655" t="str">
        <f>Регистрация!A1</f>
        <v xml:space="preserve"> Межмуниципальные соревнования по всестилевому каратэ "Первый старт" 27 сентября 2025 г.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2"/>
      <c r="P1" s="672"/>
      <c r="Q1" s="672"/>
      <c r="R1" s="672"/>
      <c r="S1" s="672"/>
      <c r="T1" s="672"/>
      <c r="U1" s="672"/>
      <c r="V1" s="672"/>
      <c r="W1" s="672"/>
      <c r="X1" s="672"/>
      <c r="Y1" s="672"/>
      <c r="Z1" s="19"/>
      <c r="AA1" s="19"/>
      <c r="AB1" s="19"/>
    </row>
    <row r="2" spans="1:29" ht="13.5" customHeight="1">
      <c r="A2" s="656" t="str">
        <f>Регистрация!A2</f>
        <v>Вид спорта: ВСЕСТИЛЕВОЕ КАРАТЭ (номер-код вида спорта - 0900001411Я)</v>
      </c>
      <c r="B2" s="672"/>
      <c r="C2" s="672"/>
      <c r="D2" s="672"/>
      <c r="E2" s="672"/>
      <c r="F2" s="672"/>
      <c r="G2" s="672"/>
      <c r="H2" s="672"/>
      <c r="I2" s="672"/>
      <c r="J2" s="672"/>
      <c r="K2" s="672"/>
      <c r="L2" s="672"/>
      <c r="M2" s="672"/>
      <c r="N2" s="672"/>
      <c r="O2" s="672"/>
      <c r="P2" s="672"/>
      <c r="Q2" s="672"/>
      <c r="R2" s="672"/>
      <c r="S2" s="672"/>
      <c r="T2" s="672"/>
      <c r="U2" s="672"/>
      <c r="V2" s="672"/>
      <c r="W2" s="672"/>
      <c r="X2" s="672"/>
      <c r="Y2" s="672"/>
      <c r="Z2" s="22"/>
      <c r="AA2" s="22"/>
      <c r="AB2" s="22"/>
    </row>
    <row r="3" spans="1:29" ht="17.25" customHeight="1">
      <c r="A3" s="673" t="str">
        <f>Регистрация!A3</f>
        <v>Женщины 18 +  ОК-двоеборье</v>
      </c>
      <c r="B3" s="674"/>
      <c r="C3" s="674"/>
      <c r="D3" s="674"/>
      <c r="E3" s="657" t="str">
        <f>Регистрация!G3</f>
        <v>г. Санкт-Петербург</v>
      </c>
      <c r="F3" s="657"/>
      <c r="G3" s="657"/>
      <c r="H3" s="657"/>
      <c r="I3" s="657"/>
      <c r="J3" s="657"/>
      <c r="K3" s="657"/>
      <c r="L3" s="657"/>
      <c r="M3" s="657"/>
      <c r="N3" s="657"/>
      <c r="O3" s="657"/>
      <c r="P3" s="657"/>
      <c r="Q3" s="657"/>
      <c r="R3" s="675" t="str">
        <f>Регистрация!L3</f>
        <v>27 сентября 2025</v>
      </c>
      <c r="S3" s="672"/>
      <c r="T3" s="672"/>
      <c r="U3" s="672"/>
      <c r="V3" s="672"/>
      <c r="W3" s="675">
        <f>Регистрация!N3</f>
        <v>0</v>
      </c>
      <c r="X3" s="672"/>
      <c r="Y3" s="672"/>
      <c r="Z3" s="22"/>
      <c r="AA3" s="358"/>
      <c r="AB3" s="22"/>
    </row>
    <row r="4" spans="1:29" ht="21.75" customHeight="1">
      <c r="A4" s="676" t="s">
        <v>29</v>
      </c>
      <c r="B4" s="677"/>
      <c r="C4" s="677"/>
      <c r="D4" s="677"/>
      <c r="E4" s="677"/>
      <c r="F4" s="677"/>
      <c r="G4" s="677"/>
      <c r="H4" s="677"/>
      <c r="I4" s="677"/>
      <c r="J4" s="677"/>
      <c r="K4" s="677"/>
      <c r="L4" s="677"/>
      <c r="M4" s="677"/>
      <c r="N4" s="677"/>
      <c r="O4" s="677"/>
      <c r="P4" s="677"/>
      <c r="Q4" s="677"/>
      <c r="R4" s="677"/>
      <c r="S4" s="677"/>
      <c r="T4" s="677"/>
      <c r="U4" s="677"/>
      <c r="V4" s="677"/>
      <c r="W4" s="677"/>
      <c r="X4" s="677"/>
      <c r="Y4" s="677"/>
      <c r="Z4" s="176"/>
      <c r="AA4" s="358"/>
      <c r="AB4" s="22"/>
    </row>
    <row r="5" spans="1:29" s="26" customFormat="1" ht="12.75" customHeight="1">
      <c r="A5" s="678" t="s">
        <v>2</v>
      </c>
      <c r="B5" s="680" t="s">
        <v>42</v>
      </c>
      <c r="C5" s="671" t="s">
        <v>30</v>
      </c>
      <c r="D5" s="681"/>
      <c r="E5" s="681"/>
      <c r="F5" s="681"/>
      <c r="G5" s="681"/>
      <c r="H5" s="681"/>
      <c r="I5" s="682"/>
      <c r="J5" s="671" t="s">
        <v>31</v>
      </c>
      <c r="K5" s="681"/>
      <c r="L5" s="681"/>
      <c r="M5" s="681"/>
      <c r="N5" s="681"/>
      <c r="O5" s="681"/>
      <c r="P5" s="682"/>
      <c r="Q5" s="671" t="s">
        <v>46</v>
      </c>
      <c r="R5" s="681"/>
      <c r="S5" s="681"/>
      <c r="T5" s="681"/>
      <c r="U5" s="681"/>
      <c r="V5" s="681"/>
      <c r="W5" s="682"/>
      <c r="X5" s="683" t="s">
        <v>32</v>
      </c>
      <c r="Y5" s="684" t="s">
        <v>28</v>
      </c>
      <c r="Z5" s="24"/>
      <c r="AA5" s="25"/>
      <c r="AB5" s="25"/>
      <c r="AC5" s="20"/>
    </row>
    <row r="6" spans="1:29" s="26" customFormat="1" ht="12" customHeight="1" thickBot="1">
      <c r="A6" s="679"/>
      <c r="B6" s="679"/>
      <c r="C6" s="372" t="s">
        <v>41</v>
      </c>
      <c r="D6" s="685" t="s">
        <v>33</v>
      </c>
      <c r="E6" s="686"/>
      <c r="F6" s="686"/>
      <c r="G6" s="686"/>
      <c r="H6" s="687"/>
      <c r="I6" s="373" t="s">
        <v>32</v>
      </c>
      <c r="J6" s="372" t="s">
        <v>41</v>
      </c>
      <c r="K6" s="685" t="s">
        <v>33</v>
      </c>
      <c r="L6" s="686"/>
      <c r="M6" s="686"/>
      <c r="N6" s="686"/>
      <c r="O6" s="687"/>
      <c r="P6" s="373" t="s">
        <v>32</v>
      </c>
      <c r="Q6" s="372" t="s">
        <v>41</v>
      </c>
      <c r="R6" s="685" t="s">
        <v>33</v>
      </c>
      <c r="S6" s="686"/>
      <c r="T6" s="686"/>
      <c r="U6" s="686"/>
      <c r="V6" s="687"/>
      <c r="W6" s="374" t="s">
        <v>32</v>
      </c>
      <c r="X6" s="679"/>
      <c r="Y6" s="679"/>
      <c r="Z6" s="24"/>
      <c r="AA6" s="25"/>
      <c r="AB6" s="25"/>
      <c r="AC6" s="20"/>
    </row>
    <row r="7" spans="1:29" s="29" customFormat="1" ht="10.5" customHeight="1" thickTop="1">
      <c r="A7" s="375">
        <v>1</v>
      </c>
      <c r="B7" s="376" t="str">
        <f>CONCATENATE(VLOOKUP(A7,Регистрация!$B$7:$N$71,3,FALSE)," ",VLOOKUP(A7,Регистрация!$B$7:$N$71,4,FALSE)," (",VLOOKUP(A7,Регистрация!$B$7:$N$71,11,FALSE),")")</f>
        <v>Сугралиева Арина (Политех)</v>
      </c>
      <c r="C7" s="688"/>
      <c r="D7" s="694"/>
      <c r="E7" s="694"/>
      <c r="F7" s="694"/>
      <c r="G7" s="694"/>
      <c r="H7" s="694"/>
      <c r="I7" s="698">
        <f>(SUM(D7:H7)-MIN(D7:H7)-MAX(D7:H7))</f>
        <v>0</v>
      </c>
      <c r="J7" s="697"/>
      <c r="K7" s="694"/>
      <c r="L7" s="694"/>
      <c r="M7" s="694"/>
      <c r="N7" s="694"/>
      <c r="O7" s="694"/>
      <c r="P7" s="698">
        <f>(SUM(K7:O7)-MIN(K7:O7)-MAX(K7:O7))</f>
        <v>0</v>
      </c>
      <c r="Q7" s="697"/>
      <c r="R7" s="694"/>
      <c r="S7" s="694"/>
      <c r="T7" s="694"/>
      <c r="U7" s="694"/>
      <c r="V7" s="694"/>
      <c r="W7" s="698">
        <f>(SUM(R7:V7)-MIN(R7:V7)-MAX(R7:V7))</f>
        <v>0</v>
      </c>
      <c r="X7" s="708"/>
      <c r="Y7" s="705"/>
      <c r="Z7" s="31"/>
      <c r="AA7" s="30"/>
      <c r="AB7" s="27"/>
      <c r="AC7" s="28"/>
    </row>
    <row r="8" spans="1:29" s="29" customFormat="1" ht="10.5" customHeight="1">
      <c r="A8" s="379">
        <v>2</v>
      </c>
      <c r="B8" s="380" t="str">
        <f>CONCATENATE(VLOOKUP(A8,Регистрация!$B$7:$N$71,3,FALSE)," ",VLOOKUP(A8,Регистрация!$B$7:$N$71,4,FALSE)," (",VLOOKUP(A8,Регистрация!$B$7:$N$71,11,FALSE),")")</f>
        <v>Хохлова Элина (WSKF)</v>
      </c>
      <c r="C8" s="689"/>
      <c r="D8" s="695"/>
      <c r="E8" s="695"/>
      <c r="F8" s="695"/>
      <c r="G8" s="695"/>
      <c r="H8" s="695"/>
      <c r="I8" s="699"/>
      <c r="J8" s="689"/>
      <c r="K8" s="695"/>
      <c r="L8" s="695"/>
      <c r="M8" s="695"/>
      <c r="N8" s="695"/>
      <c r="O8" s="695"/>
      <c r="P8" s="699"/>
      <c r="Q8" s="689"/>
      <c r="R8" s="695"/>
      <c r="S8" s="695"/>
      <c r="T8" s="695"/>
      <c r="U8" s="695"/>
      <c r="V8" s="695"/>
      <c r="W8" s="699"/>
      <c r="X8" s="692"/>
      <c r="Y8" s="706"/>
      <c r="Z8" s="31"/>
      <c r="AA8" s="30"/>
      <c r="AB8" s="27"/>
      <c r="AC8" s="28"/>
    </row>
    <row r="9" spans="1:29" s="29" customFormat="1" ht="10.5" customHeight="1" thickBot="1">
      <c r="A9" s="377">
        <v>3</v>
      </c>
      <c r="B9" s="378" t="str">
        <f>CONCATENATE(VLOOKUP(A9,Регистрация!$B$7:$N$71,3,FALSE)," ",VLOOKUP(A9,Регистрация!$B$7:$N$71,4,FALSE)," (",VLOOKUP(A9,Регистрация!$B$7:$N$71,11,FALSE),")")</f>
        <v>Паранина Полина (Политех)</v>
      </c>
      <c r="C9" s="690"/>
      <c r="D9" s="696"/>
      <c r="E9" s="696"/>
      <c r="F9" s="696"/>
      <c r="G9" s="696"/>
      <c r="H9" s="696"/>
      <c r="I9" s="700"/>
      <c r="J9" s="690"/>
      <c r="K9" s="696"/>
      <c r="L9" s="696"/>
      <c r="M9" s="696"/>
      <c r="N9" s="696"/>
      <c r="O9" s="696"/>
      <c r="P9" s="700"/>
      <c r="Q9" s="690"/>
      <c r="R9" s="696"/>
      <c r="S9" s="696"/>
      <c r="T9" s="696"/>
      <c r="U9" s="696"/>
      <c r="V9" s="696"/>
      <c r="W9" s="700"/>
      <c r="X9" s="693"/>
      <c r="Y9" s="707"/>
      <c r="Z9" s="31"/>
      <c r="AA9" s="30"/>
      <c r="AB9" s="27"/>
      <c r="AC9" s="28"/>
    </row>
    <row r="10" spans="1:29" s="29" customFormat="1" ht="10.5" customHeight="1" thickTop="1">
      <c r="A10" s="375">
        <v>4</v>
      </c>
      <c r="B10" s="376" t="str">
        <f>CONCATENATE(VLOOKUP(A10,Регистрация!$B$7:$N$71,3,FALSE)," ",VLOOKUP(A10,Регистрация!$B$7:$N$71,4,FALSE)," (",VLOOKUP(A10,Регистрация!$B$7:$N$71,11,FALSE),")")</f>
        <v>Шайдулина Алина (Политех)</v>
      </c>
      <c r="C10" s="688"/>
      <c r="D10" s="694"/>
      <c r="E10" s="694"/>
      <c r="F10" s="694"/>
      <c r="G10" s="694"/>
      <c r="H10" s="694"/>
      <c r="I10" s="698">
        <f t="shared" ref="I10" si="0">(SUM(D10:H10)-MIN(D10:H10)-MAX(D10:H10))</f>
        <v>0</v>
      </c>
      <c r="J10" s="697"/>
      <c r="K10" s="694"/>
      <c r="L10" s="694"/>
      <c r="M10" s="694"/>
      <c r="N10" s="694"/>
      <c r="O10" s="694"/>
      <c r="P10" s="698">
        <f t="shared" ref="P10" si="1">(SUM(K10:O10)-MIN(K10:O10)-MAX(K10:O10))</f>
        <v>0</v>
      </c>
      <c r="Q10" s="697"/>
      <c r="R10" s="694"/>
      <c r="S10" s="694"/>
      <c r="T10" s="694"/>
      <c r="U10" s="694"/>
      <c r="V10" s="694"/>
      <c r="W10" s="698">
        <f t="shared" ref="W10" si="2">(SUM(R10:V10)-MIN(R10:V10)-MAX(R10:V10))</f>
        <v>0</v>
      </c>
      <c r="X10" s="708"/>
      <c r="Y10" s="705"/>
      <c r="Z10" s="24"/>
      <c r="AA10" s="30"/>
      <c r="AB10" s="27"/>
      <c r="AC10" s="28"/>
    </row>
    <row r="11" spans="1:29" s="29" customFormat="1" ht="10.5" customHeight="1">
      <c r="A11" s="379">
        <v>5</v>
      </c>
      <c r="B11" s="380" t="str">
        <f>CONCATENATE(VLOOKUP(A11,Регистрация!$B$7:$N$71,3,FALSE)," ",VLOOKUP(A11,Регистрация!$B$7:$N$71,4,FALSE)," (",VLOOKUP(A11,Регистрация!$B$7:$N$71,11,FALSE),")")</f>
        <v>Носкова Александра (Политех)</v>
      </c>
      <c r="C11" s="689"/>
      <c r="D11" s="695"/>
      <c r="E11" s="695"/>
      <c r="F11" s="695"/>
      <c r="G11" s="695"/>
      <c r="H11" s="695"/>
      <c r="I11" s="699"/>
      <c r="J11" s="689"/>
      <c r="K11" s="695"/>
      <c r="L11" s="695"/>
      <c r="M11" s="695"/>
      <c r="N11" s="695"/>
      <c r="O11" s="695"/>
      <c r="P11" s="699"/>
      <c r="Q11" s="689"/>
      <c r="R11" s="695"/>
      <c r="S11" s="695"/>
      <c r="T11" s="695"/>
      <c r="U11" s="695"/>
      <c r="V11" s="695"/>
      <c r="W11" s="699"/>
      <c r="X11" s="692"/>
      <c r="Y11" s="706"/>
      <c r="Z11" s="24"/>
      <c r="AA11" s="30"/>
      <c r="AB11" s="27"/>
      <c r="AC11" s="28"/>
    </row>
    <row r="12" spans="1:29" s="29" customFormat="1" ht="10.5" customHeight="1" thickBot="1">
      <c r="A12" s="377">
        <v>6</v>
      </c>
      <c r="B12" s="378" t="str">
        <f>CONCATENATE(VLOOKUP(A12,Регистрация!$B$7:$N$71,3,FALSE)," ",VLOOKUP(A12,Регистрация!$B$7:$N$71,4,FALSE)," (",VLOOKUP(A12,Регистрация!$B$7:$N$71,11,FALSE),")")</f>
        <v>Павлова Мария (Политех)</v>
      </c>
      <c r="C12" s="690"/>
      <c r="D12" s="696"/>
      <c r="E12" s="696"/>
      <c r="F12" s="696"/>
      <c r="G12" s="696"/>
      <c r="H12" s="696"/>
      <c r="I12" s="700"/>
      <c r="J12" s="690"/>
      <c r="K12" s="696"/>
      <c r="L12" s="696"/>
      <c r="M12" s="696"/>
      <c r="N12" s="696"/>
      <c r="O12" s="696"/>
      <c r="P12" s="700"/>
      <c r="Q12" s="690"/>
      <c r="R12" s="696"/>
      <c r="S12" s="696"/>
      <c r="T12" s="696"/>
      <c r="U12" s="696"/>
      <c r="V12" s="696"/>
      <c r="W12" s="700"/>
      <c r="X12" s="693"/>
      <c r="Y12" s="707"/>
      <c r="Z12" s="24"/>
      <c r="AA12" s="30"/>
      <c r="AB12" s="27"/>
      <c r="AC12" s="28"/>
    </row>
    <row r="13" spans="1:29" s="29" customFormat="1" ht="10.5" customHeight="1" thickTop="1">
      <c r="A13" s="375">
        <v>7</v>
      </c>
      <c r="B13" s="376" t="str">
        <f>CONCATENATE(VLOOKUP(A13,Регистрация!$B$7:$N$71,3,FALSE)," ",VLOOKUP(A13,Регистрация!$B$7:$N$71,4,FALSE)," (",VLOOKUP(A13,Регистрация!$B$7:$N$71,11,FALSE),")")</f>
        <v xml:space="preserve">  ()</v>
      </c>
      <c r="C13" s="688"/>
      <c r="D13" s="694"/>
      <c r="E13" s="694"/>
      <c r="F13" s="694"/>
      <c r="G13" s="694"/>
      <c r="H13" s="694"/>
      <c r="I13" s="698">
        <f t="shared" ref="I13" si="3">(SUM(D13:H13)-MIN(D13:H13)-MAX(D13:H13))</f>
        <v>0</v>
      </c>
      <c r="J13" s="697"/>
      <c r="K13" s="694"/>
      <c r="L13" s="694"/>
      <c r="M13" s="694"/>
      <c r="N13" s="694"/>
      <c r="O13" s="694"/>
      <c r="P13" s="698">
        <f t="shared" ref="P13" si="4">(SUM(K13:O13)-MIN(K13:O13)-MAX(K13:O13))</f>
        <v>0</v>
      </c>
      <c r="Q13" s="697"/>
      <c r="R13" s="694"/>
      <c r="S13" s="694"/>
      <c r="T13" s="694"/>
      <c r="U13" s="694"/>
      <c r="V13" s="694"/>
      <c r="W13" s="698">
        <f t="shared" ref="W13" si="5">(SUM(R13:V13)-MIN(R13:V13)-MAX(R13:V13))</f>
        <v>0</v>
      </c>
      <c r="X13" s="708"/>
      <c r="Y13" s="705"/>
      <c r="Z13" s="24"/>
      <c r="AA13" s="30"/>
      <c r="AB13" s="27"/>
      <c r="AC13" s="28"/>
    </row>
    <row r="14" spans="1:29" s="29" customFormat="1" ht="10.5" customHeight="1">
      <c r="A14" s="379">
        <v>8</v>
      </c>
      <c r="B14" s="380" t="str">
        <f>CONCATENATE(VLOOKUP(A14,Регистрация!$B$7:$N$71,3,FALSE)," ",VLOOKUP(A14,Регистрация!$B$7:$N$71,4,FALSE)," (",VLOOKUP(A14,Регистрация!$B$7:$N$71,11,FALSE),")")</f>
        <v xml:space="preserve">  ()</v>
      </c>
      <c r="C14" s="689"/>
      <c r="D14" s="695"/>
      <c r="E14" s="695"/>
      <c r="F14" s="695"/>
      <c r="G14" s="695"/>
      <c r="H14" s="695"/>
      <c r="I14" s="699"/>
      <c r="J14" s="689"/>
      <c r="K14" s="695"/>
      <c r="L14" s="695"/>
      <c r="M14" s="695"/>
      <c r="N14" s="695"/>
      <c r="O14" s="695"/>
      <c r="P14" s="699"/>
      <c r="Q14" s="689"/>
      <c r="R14" s="695"/>
      <c r="S14" s="695"/>
      <c r="T14" s="695"/>
      <c r="U14" s="695"/>
      <c r="V14" s="695"/>
      <c r="W14" s="699"/>
      <c r="X14" s="692"/>
      <c r="Y14" s="706"/>
      <c r="Z14" s="31"/>
      <c r="AA14" s="30"/>
      <c r="AB14" s="27"/>
      <c r="AC14" s="28"/>
    </row>
    <row r="15" spans="1:29" s="29" customFormat="1" ht="10.5" customHeight="1" thickBot="1">
      <c r="A15" s="377">
        <v>9</v>
      </c>
      <c r="B15" s="378" t="str">
        <f>CONCATENATE(VLOOKUP(A15,Регистрация!$B$7:$N$71,3,FALSE)," ",VLOOKUP(A15,Регистрация!$B$7:$N$71,4,FALSE)," (",VLOOKUP(A15,Регистрация!$B$7:$N$71,11,FALSE),")")</f>
        <v xml:space="preserve">  ()</v>
      </c>
      <c r="C15" s="690"/>
      <c r="D15" s="696"/>
      <c r="E15" s="696"/>
      <c r="F15" s="696"/>
      <c r="G15" s="696"/>
      <c r="H15" s="696"/>
      <c r="I15" s="700"/>
      <c r="J15" s="690"/>
      <c r="K15" s="696"/>
      <c r="L15" s="696"/>
      <c r="M15" s="696"/>
      <c r="N15" s="696"/>
      <c r="O15" s="696"/>
      <c r="P15" s="700"/>
      <c r="Q15" s="690"/>
      <c r="R15" s="696"/>
      <c r="S15" s="696"/>
      <c r="T15" s="696"/>
      <c r="U15" s="696"/>
      <c r="V15" s="696"/>
      <c r="W15" s="700"/>
      <c r="X15" s="693"/>
      <c r="Y15" s="707"/>
      <c r="Z15" s="31"/>
      <c r="AA15" s="30"/>
      <c r="AB15" s="27"/>
      <c r="AC15" s="28"/>
    </row>
    <row r="16" spans="1:29" s="29" customFormat="1" ht="10.5" customHeight="1" thickTop="1">
      <c r="A16" s="375">
        <v>10</v>
      </c>
      <c r="B16" s="376" t="str">
        <f>CONCATENATE(VLOOKUP(A16,Регистрация!$B$7:$N$71,3,FALSE)," ",VLOOKUP(A16,Регистрация!$B$7:$N$71,4,FALSE)," (",VLOOKUP(A16,Регистрация!$B$7:$N$71,11,FALSE),")")</f>
        <v xml:space="preserve">  ()</v>
      </c>
      <c r="C16" s="688"/>
      <c r="D16" s="694"/>
      <c r="E16" s="694"/>
      <c r="F16" s="694"/>
      <c r="G16" s="694"/>
      <c r="H16" s="694"/>
      <c r="I16" s="698">
        <f t="shared" ref="I16" si="6">(SUM(D16:H16)-MIN(D16:H16)-MAX(D16:H16))</f>
        <v>0</v>
      </c>
      <c r="J16" s="697"/>
      <c r="K16" s="694"/>
      <c r="L16" s="694"/>
      <c r="M16" s="694"/>
      <c r="N16" s="694"/>
      <c r="O16" s="694"/>
      <c r="P16" s="698">
        <f t="shared" ref="P16" si="7">(SUM(K16:O16)-MIN(K16:O16)-MAX(K16:O16))</f>
        <v>0</v>
      </c>
      <c r="Q16" s="697"/>
      <c r="R16" s="694"/>
      <c r="S16" s="694"/>
      <c r="T16" s="694"/>
      <c r="U16" s="694"/>
      <c r="V16" s="694"/>
      <c r="W16" s="698">
        <f t="shared" ref="W16" si="8">(SUM(R16:V16)-MIN(R16:V16)-MAX(R16:V16))</f>
        <v>0</v>
      </c>
      <c r="X16" s="708"/>
      <c r="Y16" s="705"/>
      <c r="Z16" s="31"/>
      <c r="AA16" s="30"/>
      <c r="AB16" s="27"/>
      <c r="AC16" s="28"/>
    </row>
    <row r="17" spans="1:29" s="29" customFormat="1" ht="10.5" customHeight="1">
      <c r="A17" s="379">
        <v>11</v>
      </c>
      <c r="B17" s="380" t="str">
        <f>CONCATENATE(VLOOKUP(A17,Регистрация!$B$7:$N$71,3,FALSE)," ",VLOOKUP(A17,Регистрация!$B$7:$N$71,4,FALSE)," (",VLOOKUP(A17,Регистрация!$B$7:$N$71,11,FALSE),")")</f>
        <v xml:space="preserve">  ()</v>
      </c>
      <c r="C17" s="689"/>
      <c r="D17" s="695"/>
      <c r="E17" s="695"/>
      <c r="F17" s="695"/>
      <c r="G17" s="695"/>
      <c r="H17" s="695"/>
      <c r="I17" s="699"/>
      <c r="J17" s="689"/>
      <c r="K17" s="695"/>
      <c r="L17" s="695"/>
      <c r="M17" s="695"/>
      <c r="N17" s="695"/>
      <c r="O17" s="695"/>
      <c r="P17" s="699"/>
      <c r="Q17" s="689"/>
      <c r="R17" s="695"/>
      <c r="S17" s="695"/>
      <c r="T17" s="695"/>
      <c r="U17" s="695"/>
      <c r="V17" s="695"/>
      <c r="W17" s="699"/>
      <c r="X17" s="692"/>
      <c r="Y17" s="706"/>
      <c r="Z17" s="24"/>
      <c r="AA17" s="30"/>
      <c r="AB17" s="27"/>
      <c r="AC17" s="28"/>
    </row>
    <row r="18" spans="1:29" s="29" customFormat="1" ht="10.5" customHeight="1" thickBot="1">
      <c r="A18" s="377">
        <v>12</v>
      </c>
      <c r="B18" s="378" t="str">
        <f>CONCATENATE(VLOOKUP(A18,Регистрация!$B$7:$N$71,3,FALSE)," ",VLOOKUP(A18,Регистрация!$B$7:$N$71,4,FALSE)," (",VLOOKUP(A18,Регистрация!$B$7:$N$71,11,FALSE),")")</f>
        <v xml:space="preserve">  ()</v>
      </c>
      <c r="C18" s="690"/>
      <c r="D18" s="696"/>
      <c r="E18" s="696"/>
      <c r="F18" s="696"/>
      <c r="G18" s="696"/>
      <c r="H18" s="696"/>
      <c r="I18" s="700"/>
      <c r="J18" s="690"/>
      <c r="K18" s="696"/>
      <c r="L18" s="696"/>
      <c r="M18" s="696"/>
      <c r="N18" s="696"/>
      <c r="O18" s="696"/>
      <c r="P18" s="700"/>
      <c r="Q18" s="690"/>
      <c r="R18" s="696"/>
      <c r="S18" s="696"/>
      <c r="T18" s="696"/>
      <c r="U18" s="696"/>
      <c r="V18" s="696"/>
      <c r="W18" s="700"/>
      <c r="X18" s="693"/>
      <c r="Y18" s="707"/>
      <c r="Z18" s="24"/>
      <c r="AA18" s="30"/>
      <c r="AB18" s="27"/>
      <c r="AC18" s="28"/>
    </row>
    <row r="19" spans="1:29" s="29" customFormat="1" ht="10.5" customHeight="1" thickTop="1">
      <c r="A19" s="375">
        <v>13</v>
      </c>
      <c r="B19" s="376" t="str">
        <f>CONCATENATE(VLOOKUP(A19,Регистрация!$B$7:$N$71,3,FALSE)," ",VLOOKUP(A19,Регистрация!$B$7:$N$71,4,FALSE)," (",VLOOKUP(A19,Регистрация!$B$7:$N$71,11,FALSE),")")</f>
        <v xml:space="preserve">  ()</v>
      </c>
      <c r="C19" s="691"/>
      <c r="D19" s="694"/>
      <c r="E19" s="694"/>
      <c r="F19" s="694"/>
      <c r="G19" s="694"/>
      <c r="H19" s="694"/>
      <c r="I19" s="698">
        <f t="shared" ref="I19" si="9">(SUM(D19:H19)-MIN(D19:H19)-MAX(D19:H19))</f>
        <v>0</v>
      </c>
      <c r="J19" s="697"/>
      <c r="K19" s="694"/>
      <c r="L19" s="694"/>
      <c r="M19" s="694"/>
      <c r="N19" s="694"/>
      <c r="O19" s="694"/>
      <c r="P19" s="698">
        <f t="shared" ref="P19" si="10">(SUM(K19:O19)-MIN(K19:O19)-MAX(K19:O19))</f>
        <v>0</v>
      </c>
      <c r="Q19" s="697"/>
      <c r="R19" s="694"/>
      <c r="S19" s="694"/>
      <c r="T19" s="694"/>
      <c r="U19" s="694"/>
      <c r="V19" s="694"/>
      <c r="W19" s="698">
        <f t="shared" ref="W19" si="11">(SUM(R19:V19)-MIN(R19:V19)-MAX(R19:V19))</f>
        <v>0</v>
      </c>
      <c r="X19" s="708"/>
      <c r="Y19" s="705"/>
      <c r="Z19" s="24"/>
      <c r="AA19" s="30"/>
      <c r="AB19" s="27"/>
      <c r="AC19" s="28"/>
    </row>
    <row r="20" spans="1:29" s="29" customFormat="1" ht="10.5" customHeight="1">
      <c r="A20" s="379">
        <v>14</v>
      </c>
      <c r="B20" s="380" t="str">
        <f>CONCATENATE(VLOOKUP(A20,Регистрация!$B$7:$N$71,3,FALSE)," ",VLOOKUP(A20,Регистрация!$B$7:$N$71,4,FALSE)," (",VLOOKUP(A20,Регистрация!$B$7:$N$71,11,FALSE),")")</f>
        <v xml:space="preserve">  ()</v>
      </c>
      <c r="C20" s="692"/>
      <c r="D20" s="695"/>
      <c r="E20" s="695"/>
      <c r="F20" s="695"/>
      <c r="G20" s="695"/>
      <c r="H20" s="695"/>
      <c r="I20" s="699"/>
      <c r="J20" s="689"/>
      <c r="K20" s="695"/>
      <c r="L20" s="695"/>
      <c r="M20" s="695"/>
      <c r="N20" s="695"/>
      <c r="O20" s="695"/>
      <c r="P20" s="699"/>
      <c r="Q20" s="689"/>
      <c r="R20" s="695"/>
      <c r="S20" s="695"/>
      <c r="T20" s="695"/>
      <c r="U20" s="695"/>
      <c r="V20" s="695"/>
      <c r="W20" s="699"/>
      <c r="X20" s="692"/>
      <c r="Y20" s="706"/>
      <c r="Z20" s="24"/>
      <c r="AA20" s="30"/>
      <c r="AB20" s="27"/>
      <c r="AC20" s="28"/>
    </row>
    <row r="21" spans="1:29" s="29" customFormat="1" ht="10.5" customHeight="1" thickBot="1">
      <c r="A21" s="377">
        <v>15</v>
      </c>
      <c r="B21" s="378" t="str">
        <f>CONCATENATE(VLOOKUP(A21,Регистрация!$B$7:$N$71,3,FALSE)," ",VLOOKUP(A21,Регистрация!$B$7:$N$71,4,FALSE)," (",VLOOKUP(A21,Регистрация!$B$7:$N$71,11,FALSE),")")</f>
        <v xml:space="preserve">  ()</v>
      </c>
      <c r="C21" s="693"/>
      <c r="D21" s="696"/>
      <c r="E21" s="696"/>
      <c r="F21" s="696"/>
      <c r="G21" s="696"/>
      <c r="H21" s="696"/>
      <c r="I21" s="700"/>
      <c r="J21" s="690"/>
      <c r="K21" s="696"/>
      <c r="L21" s="696"/>
      <c r="M21" s="696"/>
      <c r="N21" s="696"/>
      <c r="O21" s="696"/>
      <c r="P21" s="700"/>
      <c r="Q21" s="690"/>
      <c r="R21" s="696"/>
      <c r="S21" s="696"/>
      <c r="T21" s="696"/>
      <c r="U21" s="696"/>
      <c r="V21" s="696"/>
      <c r="W21" s="700"/>
      <c r="X21" s="693"/>
      <c r="Y21" s="707"/>
      <c r="Z21" s="24"/>
      <c r="AA21" s="30"/>
      <c r="AB21" s="27"/>
      <c r="AC21" s="28"/>
    </row>
    <row r="22" spans="1:29" s="29" customFormat="1" ht="10.5" hidden="1" customHeight="1" thickTop="1">
      <c r="A22" s="375">
        <v>16</v>
      </c>
      <c r="B22" s="376" t="str">
        <f>CONCATENATE(VLOOKUP(A22,Регистрация!$B$7:$N$71,3,FALSE)," ",VLOOKUP(A22,Регистрация!$B$7:$N$71,4,FALSE)," (",VLOOKUP(A22,Регистрация!$B$7:$N$71,11,FALSE),")")</f>
        <v xml:space="preserve">  ()</v>
      </c>
      <c r="C22" s="688"/>
      <c r="D22" s="694"/>
      <c r="E22" s="694"/>
      <c r="F22" s="694"/>
      <c r="G22" s="694"/>
      <c r="H22" s="694"/>
      <c r="I22" s="698">
        <f t="shared" ref="I22" si="12">(SUM(D22:H22)-MIN(D22:H22)-MAX(D22:H22))</f>
        <v>0</v>
      </c>
      <c r="J22" s="697"/>
      <c r="K22" s="694"/>
      <c r="L22" s="694"/>
      <c r="M22" s="694"/>
      <c r="N22" s="694"/>
      <c r="O22" s="694"/>
      <c r="P22" s="698">
        <f t="shared" ref="P22" si="13">(SUM(K22:O22)-MIN(K22:O22)-MAX(K22:O22))</f>
        <v>0</v>
      </c>
      <c r="Q22" s="697"/>
      <c r="R22" s="694"/>
      <c r="S22" s="694"/>
      <c r="T22" s="694"/>
      <c r="U22" s="694"/>
      <c r="V22" s="694"/>
      <c r="W22" s="698">
        <f t="shared" ref="W22" si="14">(SUM(R22:V22)-MIN(R22:V22)-MAX(R22:V22))</f>
        <v>0</v>
      </c>
      <c r="X22" s="708"/>
      <c r="Y22" s="705"/>
      <c r="Z22" s="31"/>
      <c r="AA22" s="30"/>
      <c r="AB22" s="27"/>
      <c r="AC22" s="28"/>
    </row>
    <row r="23" spans="1:29" s="29" customFormat="1" ht="10.5" hidden="1" customHeight="1">
      <c r="A23" s="379">
        <v>17</v>
      </c>
      <c r="B23" s="380" t="str">
        <f>CONCATENATE(VLOOKUP(A23,Регистрация!$B$7:$N$71,3,FALSE)," ",VLOOKUP(A23,Регистрация!$B$7:$N$71,4,FALSE)," (",VLOOKUP(A23,Регистрация!$B$7:$N$71,11,FALSE),")")</f>
        <v xml:space="preserve">  ()</v>
      </c>
      <c r="C23" s="689"/>
      <c r="D23" s="695"/>
      <c r="E23" s="695"/>
      <c r="F23" s="695"/>
      <c r="G23" s="695"/>
      <c r="H23" s="695"/>
      <c r="I23" s="699"/>
      <c r="J23" s="689"/>
      <c r="K23" s="695"/>
      <c r="L23" s="695"/>
      <c r="M23" s="695"/>
      <c r="N23" s="695"/>
      <c r="O23" s="695"/>
      <c r="P23" s="699"/>
      <c r="Q23" s="689"/>
      <c r="R23" s="695"/>
      <c r="S23" s="695"/>
      <c r="T23" s="695"/>
      <c r="U23" s="695"/>
      <c r="V23" s="695"/>
      <c r="W23" s="699"/>
      <c r="X23" s="692"/>
      <c r="Y23" s="706"/>
      <c r="Z23" s="31"/>
      <c r="AA23" s="30"/>
      <c r="AB23" s="27"/>
      <c r="AC23" s="28"/>
    </row>
    <row r="24" spans="1:29" s="29" customFormat="1" ht="10.5" hidden="1" customHeight="1" thickBot="1">
      <c r="A24" s="377">
        <v>18</v>
      </c>
      <c r="B24" s="378" t="str">
        <f>CONCATENATE(VLOOKUP(A24,Регистрация!$B$7:$N$71,3,FALSE)," ",VLOOKUP(A24,Регистрация!$B$7:$N$71,4,FALSE)," (",VLOOKUP(A24,Регистрация!$B$7:$N$71,11,FALSE),")")</f>
        <v xml:space="preserve">  ()</v>
      </c>
      <c r="C24" s="690"/>
      <c r="D24" s="696"/>
      <c r="E24" s="696"/>
      <c r="F24" s="696"/>
      <c r="G24" s="696"/>
      <c r="H24" s="696"/>
      <c r="I24" s="700"/>
      <c r="J24" s="690"/>
      <c r="K24" s="696"/>
      <c r="L24" s="696"/>
      <c r="M24" s="696"/>
      <c r="N24" s="696"/>
      <c r="O24" s="696"/>
      <c r="P24" s="700"/>
      <c r="Q24" s="690"/>
      <c r="R24" s="696"/>
      <c r="S24" s="696"/>
      <c r="T24" s="696"/>
      <c r="U24" s="696"/>
      <c r="V24" s="696"/>
      <c r="W24" s="700"/>
      <c r="X24" s="693"/>
      <c r="Y24" s="707"/>
      <c r="Z24" s="31"/>
      <c r="AA24" s="30"/>
      <c r="AB24" s="27"/>
      <c r="AC24" s="28"/>
    </row>
    <row r="25" spans="1:29" s="29" customFormat="1" ht="10.5" hidden="1" customHeight="1" thickTop="1">
      <c r="A25" s="375">
        <v>19</v>
      </c>
      <c r="B25" s="376" t="str">
        <f>CONCATENATE(VLOOKUP(A25,Регистрация!$B$7:$N$71,3,FALSE)," ",VLOOKUP(A25,Регистрация!$B$7:$N$71,4,FALSE)," (",VLOOKUP(A25,Регистрация!$B$7:$N$71,11,FALSE),")")</f>
        <v xml:space="preserve">  ()</v>
      </c>
      <c r="C25" s="688"/>
      <c r="D25" s="694"/>
      <c r="E25" s="694"/>
      <c r="F25" s="694"/>
      <c r="G25" s="694"/>
      <c r="H25" s="694"/>
      <c r="I25" s="698">
        <f t="shared" ref="I25" si="15">(SUM(D25:H25)-MIN(D25:H25)-MAX(D25:H25))</f>
        <v>0</v>
      </c>
      <c r="J25" s="697"/>
      <c r="K25" s="694"/>
      <c r="L25" s="694"/>
      <c r="M25" s="694"/>
      <c r="N25" s="694"/>
      <c r="O25" s="694"/>
      <c r="P25" s="698">
        <f t="shared" ref="P25" si="16">(SUM(K25:O25)-MIN(K25:O25)-MAX(K25:O25))</f>
        <v>0</v>
      </c>
      <c r="Q25" s="697"/>
      <c r="R25" s="694"/>
      <c r="S25" s="694"/>
      <c r="T25" s="694"/>
      <c r="U25" s="694"/>
      <c r="V25" s="694"/>
      <c r="W25" s="698">
        <f t="shared" ref="W25" si="17">(SUM(R25:V25)-MIN(R25:V25)-MAX(R25:V25))</f>
        <v>0</v>
      </c>
      <c r="X25" s="708"/>
      <c r="Y25" s="705"/>
      <c r="Z25" s="24"/>
      <c r="AA25" s="30"/>
      <c r="AB25" s="27"/>
      <c r="AC25" s="28"/>
    </row>
    <row r="26" spans="1:29" s="29" customFormat="1" ht="10.5" hidden="1" customHeight="1">
      <c r="A26" s="379">
        <v>20</v>
      </c>
      <c r="B26" s="380" t="str">
        <f>CONCATENATE(VLOOKUP(A26,Регистрация!$B$7:$N$71,3,FALSE)," ",VLOOKUP(A26,Регистрация!$B$7:$N$71,4,FALSE)," (",VLOOKUP(A26,Регистрация!$B$7:$N$71,11,FALSE),")")</f>
        <v xml:space="preserve">  ()</v>
      </c>
      <c r="C26" s="689"/>
      <c r="D26" s="695"/>
      <c r="E26" s="695"/>
      <c r="F26" s="695"/>
      <c r="G26" s="695"/>
      <c r="H26" s="695"/>
      <c r="I26" s="699"/>
      <c r="J26" s="689"/>
      <c r="K26" s="695"/>
      <c r="L26" s="695"/>
      <c r="M26" s="695"/>
      <c r="N26" s="695"/>
      <c r="O26" s="695"/>
      <c r="P26" s="699"/>
      <c r="Q26" s="689"/>
      <c r="R26" s="695"/>
      <c r="S26" s="695"/>
      <c r="T26" s="695"/>
      <c r="U26" s="695"/>
      <c r="V26" s="695"/>
      <c r="W26" s="699"/>
      <c r="X26" s="692"/>
      <c r="Y26" s="706"/>
      <c r="Z26" s="24"/>
      <c r="AA26" s="30"/>
      <c r="AB26" s="27"/>
      <c r="AC26" s="28"/>
    </row>
    <row r="27" spans="1:29" s="29" customFormat="1" ht="10.5" hidden="1" customHeight="1" thickBot="1">
      <c r="A27" s="377">
        <v>21</v>
      </c>
      <c r="B27" s="378" t="str">
        <f>CONCATENATE(VLOOKUP(A27,Регистрация!$B$7:$N$71,3,FALSE)," ",VLOOKUP(A27,Регистрация!$B$7:$N$71,4,FALSE)," (",VLOOKUP(A27,Регистрация!$B$7:$N$71,11,FALSE),")")</f>
        <v xml:space="preserve">  ()</v>
      </c>
      <c r="C27" s="690"/>
      <c r="D27" s="696"/>
      <c r="E27" s="696"/>
      <c r="F27" s="696"/>
      <c r="G27" s="696"/>
      <c r="H27" s="696"/>
      <c r="I27" s="700"/>
      <c r="J27" s="690"/>
      <c r="K27" s="696"/>
      <c r="L27" s="696"/>
      <c r="M27" s="696"/>
      <c r="N27" s="696"/>
      <c r="O27" s="696"/>
      <c r="P27" s="700"/>
      <c r="Q27" s="690"/>
      <c r="R27" s="696"/>
      <c r="S27" s="696"/>
      <c r="T27" s="696"/>
      <c r="U27" s="696"/>
      <c r="V27" s="696"/>
      <c r="W27" s="700"/>
      <c r="X27" s="693"/>
      <c r="Y27" s="707"/>
      <c r="Z27" s="24"/>
      <c r="AA27" s="30"/>
      <c r="AB27" s="27"/>
      <c r="AC27" s="28"/>
    </row>
    <row r="28" spans="1:29" s="29" customFormat="1" ht="10.5" hidden="1" customHeight="1" thickTop="1">
      <c r="A28" s="375">
        <v>22</v>
      </c>
      <c r="B28" s="376" t="str">
        <f>CONCATENATE(VLOOKUP(A28,Регистрация!$B$7:$N$71,3,FALSE)," ",VLOOKUP(A28,Регистрация!$B$7:$N$71,4,FALSE)," (",VLOOKUP(A28,Регистрация!$B$7:$N$71,11,FALSE),")")</f>
        <v xml:space="preserve">  ()</v>
      </c>
      <c r="C28" s="688"/>
      <c r="D28" s="694"/>
      <c r="E28" s="694"/>
      <c r="F28" s="694"/>
      <c r="G28" s="694"/>
      <c r="H28" s="694"/>
      <c r="I28" s="698">
        <f t="shared" ref="I28" si="18">(SUM(D28:H28)-MIN(D28:H28)-MAX(D28:H28))</f>
        <v>0</v>
      </c>
      <c r="J28" s="697"/>
      <c r="K28" s="694"/>
      <c r="L28" s="694"/>
      <c r="M28" s="694"/>
      <c r="N28" s="694"/>
      <c r="O28" s="694"/>
      <c r="P28" s="698">
        <f t="shared" ref="P28" si="19">(SUM(K28:O28)-MIN(K28:O28)-MAX(K28:O28))</f>
        <v>0</v>
      </c>
      <c r="Q28" s="697"/>
      <c r="R28" s="694"/>
      <c r="S28" s="694"/>
      <c r="T28" s="694"/>
      <c r="U28" s="694"/>
      <c r="V28" s="694"/>
      <c r="W28" s="698">
        <f t="shared" ref="W28" si="20">(SUM(R28:V28)-MIN(R28:V28)-MAX(R28:V28))</f>
        <v>0</v>
      </c>
      <c r="X28" s="708"/>
      <c r="Y28" s="705"/>
      <c r="Z28" s="24"/>
      <c r="AA28" s="30"/>
      <c r="AB28" s="27"/>
      <c r="AC28" s="28"/>
    </row>
    <row r="29" spans="1:29" s="29" customFormat="1" ht="10.5" hidden="1" customHeight="1">
      <c r="A29" s="379">
        <v>23</v>
      </c>
      <c r="B29" s="380" t="str">
        <f>CONCATENATE(VLOOKUP(A29,Регистрация!$B$7:$N$71,3,FALSE)," ",VLOOKUP(A29,Регистрация!$B$7:$N$71,4,FALSE)," (",VLOOKUP(A29,Регистрация!$B$7:$N$71,11,FALSE),")")</f>
        <v xml:space="preserve">  ()</v>
      </c>
      <c r="C29" s="689"/>
      <c r="D29" s="695"/>
      <c r="E29" s="695"/>
      <c r="F29" s="695"/>
      <c r="G29" s="695"/>
      <c r="H29" s="695"/>
      <c r="I29" s="699"/>
      <c r="J29" s="689"/>
      <c r="K29" s="695"/>
      <c r="L29" s="695"/>
      <c r="M29" s="695"/>
      <c r="N29" s="695"/>
      <c r="O29" s="695"/>
      <c r="P29" s="699"/>
      <c r="Q29" s="689"/>
      <c r="R29" s="695"/>
      <c r="S29" s="695"/>
      <c r="T29" s="695"/>
      <c r="U29" s="695"/>
      <c r="V29" s="695"/>
      <c r="W29" s="699"/>
      <c r="X29" s="692"/>
      <c r="Y29" s="706"/>
      <c r="Z29" s="31"/>
      <c r="AA29" s="30"/>
      <c r="AB29" s="27"/>
      <c r="AC29" s="28"/>
    </row>
    <row r="30" spans="1:29" s="29" customFormat="1" ht="10.5" hidden="1" customHeight="1" thickBot="1">
      <c r="A30" s="377">
        <v>24</v>
      </c>
      <c r="B30" s="378" t="str">
        <f>CONCATENATE(VLOOKUP(A30,Регистрация!$B$7:$N$71,3,FALSE)," ",VLOOKUP(A30,Регистрация!$B$7:$N$71,4,FALSE)," (",VLOOKUP(A30,Регистрация!$B$7:$N$71,11,FALSE),")")</f>
        <v xml:space="preserve">  ()</v>
      </c>
      <c r="C30" s="690"/>
      <c r="D30" s="696"/>
      <c r="E30" s="696"/>
      <c r="F30" s="696"/>
      <c r="G30" s="696"/>
      <c r="H30" s="696"/>
      <c r="I30" s="700"/>
      <c r="J30" s="690"/>
      <c r="K30" s="696"/>
      <c r="L30" s="696"/>
      <c r="M30" s="696"/>
      <c r="N30" s="696"/>
      <c r="O30" s="696"/>
      <c r="P30" s="700"/>
      <c r="Q30" s="690"/>
      <c r="R30" s="696"/>
      <c r="S30" s="696"/>
      <c r="T30" s="696"/>
      <c r="U30" s="696"/>
      <c r="V30" s="696"/>
      <c r="W30" s="700"/>
      <c r="X30" s="693"/>
      <c r="Y30" s="707"/>
      <c r="Z30" s="31"/>
      <c r="AA30" s="30"/>
      <c r="AB30" s="27"/>
      <c r="AC30" s="28"/>
    </row>
    <row r="31" spans="1:29" s="29" customFormat="1" ht="10.5" hidden="1" customHeight="1" thickTop="1">
      <c r="A31" s="375">
        <v>25</v>
      </c>
      <c r="B31" s="376" t="str">
        <f>CONCATENATE(VLOOKUP(A31,Регистрация!$B$7:$N$71,3,FALSE)," ",VLOOKUP(A31,Регистрация!$B$7:$N$71,4,FALSE)," (",VLOOKUP(A31,Регистрация!$B$7:$N$71,11,FALSE),")")</f>
        <v xml:space="preserve">  ()</v>
      </c>
      <c r="C31" s="689"/>
      <c r="D31" s="694"/>
      <c r="E31" s="694"/>
      <c r="F31" s="694"/>
      <c r="G31" s="694"/>
      <c r="H31" s="694"/>
      <c r="I31" s="698">
        <f t="shared" ref="I31" si="21">(SUM(D31:H31)-MIN(D31:H31)-MAX(D31:H31))</f>
        <v>0</v>
      </c>
      <c r="J31" s="697"/>
      <c r="K31" s="694"/>
      <c r="L31" s="694"/>
      <c r="M31" s="694"/>
      <c r="N31" s="694"/>
      <c r="O31" s="694"/>
      <c r="P31" s="698">
        <f t="shared" ref="P31" si="22">(SUM(K31:O31)-MIN(K31:O31)-MAX(K31:O31))</f>
        <v>0</v>
      </c>
      <c r="Q31" s="697"/>
      <c r="R31" s="694"/>
      <c r="S31" s="694"/>
      <c r="T31" s="694"/>
      <c r="U31" s="694"/>
      <c r="V31" s="694"/>
      <c r="W31" s="698">
        <f t="shared" ref="W31" si="23">(SUM(R31:V31)-MIN(R31:V31)-MAX(R31:V31))</f>
        <v>0</v>
      </c>
      <c r="X31" s="708"/>
      <c r="Y31" s="705"/>
      <c r="Z31" s="31"/>
      <c r="AA31" s="30"/>
      <c r="AB31" s="27"/>
      <c r="AC31" s="28"/>
    </row>
    <row r="32" spans="1:29" s="29" customFormat="1" ht="10.5" hidden="1" customHeight="1">
      <c r="A32" s="379">
        <v>26</v>
      </c>
      <c r="B32" s="380" t="str">
        <f>CONCATENATE(VLOOKUP(A32,Регистрация!$B$7:$N$71,3,FALSE)," ",VLOOKUP(A32,Регистрация!$B$7:$N$71,4,FALSE)," (",VLOOKUP(A32,Регистрация!$B$7:$N$71,11,FALSE),")")</f>
        <v xml:space="preserve">  ()</v>
      </c>
      <c r="C32" s="689"/>
      <c r="D32" s="695"/>
      <c r="E32" s="695"/>
      <c r="F32" s="695"/>
      <c r="G32" s="695"/>
      <c r="H32" s="695"/>
      <c r="I32" s="699"/>
      <c r="J32" s="689"/>
      <c r="K32" s="695"/>
      <c r="L32" s="695"/>
      <c r="M32" s="695"/>
      <c r="N32" s="695"/>
      <c r="O32" s="695"/>
      <c r="P32" s="699"/>
      <c r="Q32" s="689"/>
      <c r="R32" s="695"/>
      <c r="S32" s="695"/>
      <c r="T32" s="695"/>
      <c r="U32" s="695"/>
      <c r="V32" s="695"/>
      <c r="W32" s="699"/>
      <c r="X32" s="692"/>
      <c r="Y32" s="706"/>
      <c r="Z32" s="24"/>
      <c r="AA32" s="30"/>
      <c r="AB32" s="27"/>
      <c r="AC32" s="28"/>
    </row>
    <row r="33" spans="1:29" s="29" customFormat="1" ht="10.5" hidden="1" customHeight="1" thickBot="1">
      <c r="A33" s="377">
        <v>27</v>
      </c>
      <c r="B33" s="378" t="str">
        <f>CONCATENATE(VLOOKUP(A33,Регистрация!$B$7:$N$71,3,FALSE)," ",VLOOKUP(A33,Регистрация!$B$7:$N$71,4,FALSE)," (",VLOOKUP(A33,Регистрация!$B$7:$N$71,11,FALSE),")")</f>
        <v xml:space="preserve">  ()</v>
      </c>
      <c r="C33" s="690"/>
      <c r="D33" s="696"/>
      <c r="E33" s="696"/>
      <c r="F33" s="696"/>
      <c r="G33" s="696"/>
      <c r="H33" s="696"/>
      <c r="I33" s="700"/>
      <c r="J33" s="690"/>
      <c r="K33" s="696"/>
      <c r="L33" s="696"/>
      <c r="M33" s="696"/>
      <c r="N33" s="696"/>
      <c r="O33" s="696"/>
      <c r="P33" s="700"/>
      <c r="Q33" s="690"/>
      <c r="R33" s="696"/>
      <c r="S33" s="696"/>
      <c r="T33" s="696"/>
      <c r="U33" s="696"/>
      <c r="V33" s="696"/>
      <c r="W33" s="700"/>
      <c r="X33" s="693"/>
      <c r="Y33" s="707"/>
      <c r="Z33" s="24"/>
      <c r="AA33" s="30"/>
      <c r="AB33" s="27"/>
      <c r="AC33" s="28"/>
    </row>
    <row r="34" spans="1:29" s="29" customFormat="1" ht="10.5" hidden="1" customHeight="1" thickTop="1">
      <c r="A34" s="375">
        <v>28</v>
      </c>
      <c r="B34" s="376" t="str">
        <f>CONCATENATE(VLOOKUP(A34,Регистрация!$B$7:$N$71,3,FALSE)," ",VLOOKUP(A34,Регистрация!$B$7:$N$71,4,FALSE)," (",VLOOKUP(A34,Регистрация!$B$7:$N$71,11,FALSE),")")</f>
        <v xml:space="preserve">  ()</v>
      </c>
      <c r="C34" s="689"/>
      <c r="D34" s="694"/>
      <c r="E34" s="694"/>
      <c r="F34" s="694"/>
      <c r="G34" s="694"/>
      <c r="H34" s="694"/>
      <c r="I34" s="698">
        <f t="shared" ref="I34" si="24">(SUM(D34:H34)-MIN(D34:H34)-MAX(D34:H34))</f>
        <v>0</v>
      </c>
      <c r="J34" s="697"/>
      <c r="K34" s="694"/>
      <c r="L34" s="694"/>
      <c r="M34" s="694"/>
      <c r="N34" s="694"/>
      <c r="O34" s="694"/>
      <c r="P34" s="698">
        <f t="shared" ref="P34" si="25">(SUM(K34:O34)-MIN(K34:O34)-MAX(K34:O34))</f>
        <v>0</v>
      </c>
      <c r="Q34" s="697"/>
      <c r="R34" s="694"/>
      <c r="S34" s="694"/>
      <c r="T34" s="694"/>
      <c r="U34" s="694"/>
      <c r="V34" s="694"/>
      <c r="W34" s="698">
        <f t="shared" ref="W34" si="26">(SUM(R34:V34)-MIN(R34:V34)-MAX(R34:V34))</f>
        <v>0</v>
      </c>
      <c r="X34" s="708"/>
      <c r="Y34" s="705"/>
      <c r="Z34" s="24"/>
      <c r="AA34" s="30"/>
      <c r="AB34" s="27"/>
      <c r="AC34" s="28"/>
    </row>
    <row r="35" spans="1:29" s="29" customFormat="1" ht="10.5" hidden="1" customHeight="1">
      <c r="A35" s="379">
        <v>29</v>
      </c>
      <c r="B35" s="380" t="str">
        <f>CONCATENATE(VLOOKUP(A35,Регистрация!$B$7:$N$71,3,FALSE)," ",VLOOKUP(A35,Регистрация!$B$7:$N$71,4,FALSE)," (",VLOOKUP(A35,Регистрация!$B$7:$N$71,11,FALSE),")")</f>
        <v xml:space="preserve">  ()</v>
      </c>
      <c r="C35" s="689"/>
      <c r="D35" s="695"/>
      <c r="E35" s="695"/>
      <c r="F35" s="695"/>
      <c r="G35" s="695"/>
      <c r="H35" s="695"/>
      <c r="I35" s="699"/>
      <c r="J35" s="689"/>
      <c r="K35" s="695"/>
      <c r="L35" s="695"/>
      <c r="M35" s="695"/>
      <c r="N35" s="695"/>
      <c r="O35" s="695"/>
      <c r="P35" s="699"/>
      <c r="Q35" s="689"/>
      <c r="R35" s="695"/>
      <c r="S35" s="695"/>
      <c r="T35" s="695"/>
      <c r="U35" s="695"/>
      <c r="V35" s="695"/>
      <c r="W35" s="699"/>
      <c r="X35" s="692"/>
      <c r="Y35" s="706"/>
      <c r="Z35" s="24"/>
      <c r="AA35" s="30"/>
      <c r="AB35" s="27"/>
      <c r="AC35" s="28"/>
    </row>
    <row r="36" spans="1:29" s="29" customFormat="1" ht="10.5" hidden="1" customHeight="1" thickBot="1">
      <c r="A36" s="377">
        <v>30</v>
      </c>
      <c r="B36" s="378" t="str">
        <f>CONCATENATE(VLOOKUP(A36,Регистрация!$B$7:$N$71,3,FALSE)," ",VLOOKUP(A36,Регистрация!$B$7:$N$71,4,FALSE)," (",VLOOKUP(A36,Регистрация!$B$7:$N$71,11,FALSE),")")</f>
        <v xml:space="preserve">  ()</v>
      </c>
      <c r="C36" s="690"/>
      <c r="D36" s="696"/>
      <c r="E36" s="696"/>
      <c r="F36" s="696"/>
      <c r="G36" s="696"/>
      <c r="H36" s="696"/>
      <c r="I36" s="700"/>
      <c r="J36" s="690"/>
      <c r="K36" s="696"/>
      <c r="L36" s="696"/>
      <c r="M36" s="696"/>
      <c r="N36" s="696"/>
      <c r="O36" s="696"/>
      <c r="P36" s="700"/>
      <c r="Q36" s="690"/>
      <c r="R36" s="696"/>
      <c r="S36" s="696"/>
      <c r="T36" s="696"/>
      <c r="U36" s="696"/>
      <c r="V36" s="696"/>
      <c r="W36" s="700"/>
      <c r="X36" s="693"/>
      <c r="Y36" s="707"/>
      <c r="Z36" s="24"/>
      <c r="AA36" s="30"/>
      <c r="AB36" s="27"/>
      <c r="AC36" s="28"/>
    </row>
    <row r="37" spans="1:29" s="29" customFormat="1" ht="10.5" hidden="1" customHeight="1" thickTop="1">
      <c r="A37" s="375">
        <v>31</v>
      </c>
      <c r="B37" s="376" t="str">
        <f>CONCATENATE(VLOOKUP(A37,Регистрация!$B$7:$N$71,3,FALSE)," ",VLOOKUP(A37,Регистрация!$B$7:$N$71,4,FALSE)," (",VLOOKUP(A37,Регистрация!$B$7:$N$71,11,FALSE),")")</f>
        <v xml:space="preserve">  ()</v>
      </c>
      <c r="C37" s="689"/>
      <c r="D37" s="694"/>
      <c r="E37" s="694"/>
      <c r="F37" s="694"/>
      <c r="G37" s="694"/>
      <c r="H37" s="694"/>
      <c r="I37" s="698">
        <f t="shared" ref="I37" si="27">(SUM(D37:H37)-MIN(D37:H37)-MAX(D37:H37))</f>
        <v>0</v>
      </c>
      <c r="J37" s="697"/>
      <c r="K37" s="694"/>
      <c r="L37" s="694"/>
      <c r="M37" s="694"/>
      <c r="N37" s="694"/>
      <c r="O37" s="694"/>
      <c r="P37" s="698">
        <f t="shared" ref="P37" si="28">(SUM(K37:O37)-MIN(K37:O37)-MAX(K37:O37))</f>
        <v>0</v>
      </c>
      <c r="Q37" s="697"/>
      <c r="R37" s="694"/>
      <c r="S37" s="694"/>
      <c r="T37" s="694"/>
      <c r="U37" s="694"/>
      <c r="V37" s="694"/>
      <c r="W37" s="698">
        <f t="shared" ref="W37" si="29">(SUM(R37:V37)-MIN(R37:V37)-MAX(R37:V37))</f>
        <v>0</v>
      </c>
      <c r="X37" s="708"/>
      <c r="Y37" s="705"/>
      <c r="Z37" s="31"/>
      <c r="AA37" s="30"/>
      <c r="AB37" s="27"/>
      <c r="AC37" s="28"/>
    </row>
    <row r="38" spans="1:29" s="29" customFormat="1" ht="10.5" hidden="1" customHeight="1">
      <c r="A38" s="379">
        <v>32</v>
      </c>
      <c r="B38" s="380" t="str">
        <f>CONCATENATE(VLOOKUP(A38,Регистрация!$B$7:$N$71,3,FALSE)," ",VLOOKUP(A38,Регистрация!$B$7:$N$71,4,FALSE)," (",VLOOKUP(A38,Регистрация!$B$7:$N$71,11,FALSE),")")</f>
        <v xml:space="preserve">  ()</v>
      </c>
      <c r="C38" s="689"/>
      <c r="D38" s="695"/>
      <c r="E38" s="695"/>
      <c r="F38" s="695"/>
      <c r="G38" s="695"/>
      <c r="H38" s="695"/>
      <c r="I38" s="699"/>
      <c r="J38" s="689"/>
      <c r="K38" s="695"/>
      <c r="L38" s="695"/>
      <c r="M38" s="695"/>
      <c r="N38" s="695"/>
      <c r="O38" s="695"/>
      <c r="P38" s="699"/>
      <c r="Q38" s="689"/>
      <c r="R38" s="695"/>
      <c r="S38" s="695"/>
      <c r="T38" s="695"/>
      <c r="U38" s="695"/>
      <c r="V38" s="695"/>
      <c r="W38" s="699"/>
      <c r="X38" s="692"/>
      <c r="Y38" s="706"/>
      <c r="Z38" s="31"/>
      <c r="AA38" s="30"/>
      <c r="AB38" s="27"/>
      <c r="AC38" s="28"/>
    </row>
    <row r="39" spans="1:29" s="29" customFormat="1" ht="10.5" hidden="1" customHeight="1" thickBot="1">
      <c r="A39" s="377">
        <v>33</v>
      </c>
      <c r="B39" s="378" t="str">
        <f>CONCATENATE(VLOOKUP(A39,Регистрация!$B$7:$N$71,3,FALSE)," ",VLOOKUP(A39,Регистрация!$B$7:$N$71,4,FALSE)," (",VLOOKUP(A39,Регистрация!$B$7:$N$71,11,FALSE),")")</f>
        <v xml:space="preserve">  ()</v>
      </c>
      <c r="C39" s="690"/>
      <c r="D39" s="696"/>
      <c r="E39" s="696"/>
      <c r="F39" s="696"/>
      <c r="G39" s="696"/>
      <c r="H39" s="696"/>
      <c r="I39" s="700"/>
      <c r="J39" s="690"/>
      <c r="K39" s="696"/>
      <c r="L39" s="696"/>
      <c r="M39" s="696"/>
      <c r="N39" s="696"/>
      <c r="O39" s="696"/>
      <c r="P39" s="700"/>
      <c r="Q39" s="690"/>
      <c r="R39" s="696"/>
      <c r="S39" s="696"/>
      <c r="T39" s="696"/>
      <c r="U39" s="696"/>
      <c r="V39" s="696"/>
      <c r="W39" s="700"/>
      <c r="X39" s="693"/>
      <c r="Y39" s="707"/>
      <c r="Z39" s="31"/>
      <c r="AA39" s="30"/>
      <c r="AB39" s="27"/>
      <c r="AC39" s="28"/>
    </row>
    <row r="40" spans="1:29" s="29" customFormat="1" ht="10.5" hidden="1" customHeight="1" thickTop="1">
      <c r="A40" s="375">
        <v>34</v>
      </c>
      <c r="B40" s="376" t="str">
        <f>CONCATENATE(VLOOKUP(A40,Регистрация!$B$7:$N$71,3,FALSE)," ",VLOOKUP(A40,Регистрация!$B$7:$N$71,4,FALSE)," (",VLOOKUP(A40,Регистрация!$B$7:$N$71,11,FALSE),")")</f>
        <v xml:space="preserve">  ()</v>
      </c>
      <c r="C40" s="689"/>
      <c r="D40" s="694"/>
      <c r="E40" s="694"/>
      <c r="F40" s="694"/>
      <c r="G40" s="694"/>
      <c r="H40" s="694"/>
      <c r="I40" s="698">
        <f t="shared" ref="I40" si="30">(SUM(D40:H40)-MIN(D40:H40)-MAX(D40:H40))</f>
        <v>0</v>
      </c>
      <c r="J40" s="697"/>
      <c r="K40" s="694"/>
      <c r="L40" s="694"/>
      <c r="M40" s="694"/>
      <c r="N40" s="694"/>
      <c r="O40" s="694"/>
      <c r="P40" s="698">
        <f t="shared" ref="P40" si="31">(SUM(K40:O40)-MIN(K40:O40)-MAX(K40:O40))</f>
        <v>0</v>
      </c>
      <c r="Q40" s="697"/>
      <c r="R40" s="694"/>
      <c r="S40" s="694"/>
      <c r="T40" s="694"/>
      <c r="U40" s="694"/>
      <c r="V40" s="694"/>
      <c r="W40" s="698">
        <f t="shared" ref="W40" si="32">(SUM(R40:V40)-MIN(R40:V40)-MAX(R40:V40))</f>
        <v>0</v>
      </c>
      <c r="X40" s="708"/>
      <c r="Y40" s="705"/>
      <c r="Z40" s="24"/>
      <c r="AA40" s="30"/>
      <c r="AB40" s="27"/>
      <c r="AC40" s="28"/>
    </row>
    <row r="41" spans="1:29" s="29" customFormat="1" ht="10.5" hidden="1" customHeight="1">
      <c r="A41" s="379">
        <v>35</v>
      </c>
      <c r="B41" s="380" t="str">
        <f>CONCATENATE(VLOOKUP(A41,Регистрация!$B$7:$N$71,3,FALSE)," ",VLOOKUP(A41,Регистрация!$B$7:$N$71,4,FALSE)," (",VLOOKUP(A41,Регистрация!$B$7:$N$71,11,FALSE),")")</f>
        <v xml:space="preserve">  ()</v>
      </c>
      <c r="C41" s="689"/>
      <c r="D41" s="695"/>
      <c r="E41" s="695"/>
      <c r="F41" s="695"/>
      <c r="G41" s="695"/>
      <c r="H41" s="695"/>
      <c r="I41" s="699"/>
      <c r="J41" s="689"/>
      <c r="K41" s="695"/>
      <c r="L41" s="695"/>
      <c r="M41" s="695"/>
      <c r="N41" s="695"/>
      <c r="O41" s="695"/>
      <c r="P41" s="699"/>
      <c r="Q41" s="689"/>
      <c r="R41" s="695"/>
      <c r="S41" s="695"/>
      <c r="T41" s="695"/>
      <c r="U41" s="695"/>
      <c r="V41" s="695"/>
      <c r="W41" s="699"/>
      <c r="X41" s="692"/>
      <c r="Y41" s="706"/>
      <c r="Z41" s="24"/>
      <c r="AA41" s="30"/>
      <c r="AB41" s="27"/>
      <c r="AC41" s="28"/>
    </row>
    <row r="42" spans="1:29" s="29" customFormat="1" ht="10.5" hidden="1" customHeight="1" thickBot="1">
      <c r="A42" s="377">
        <v>36</v>
      </c>
      <c r="B42" s="378" t="str">
        <f>CONCATENATE(VLOOKUP(A42,Регистрация!$B$7:$N$71,3,FALSE)," ",VLOOKUP(A42,Регистрация!$B$7:$N$71,4,FALSE)," (",VLOOKUP(A42,Регистрация!$B$7:$N$71,11,FALSE),")")</f>
        <v xml:space="preserve">  ()</v>
      </c>
      <c r="C42" s="690"/>
      <c r="D42" s="696"/>
      <c r="E42" s="696"/>
      <c r="F42" s="696"/>
      <c r="G42" s="696"/>
      <c r="H42" s="696"/>
      <c r="I42" s="700"/>
      <c r="J42" s="690"/>
      <c r="K42" s="696"/>
      <c r="L42" s="696"/>
      <c r="M42" s="696"/>
      <c r="N42" s="696"/>
      <c r="O42" s="696"/>
      <c r="P42" s="700"/>
      <c r="Q42" s="690"/>
      <c r="R42" s="696"/>
      <c r="S42" s="696"/>
      <c r="T42" s="696"/>
      <c r="U42" s="696"/>
      <c r="V42" s="696"/>
      <c r="W42" s="700"/>
      <c r="X42" s="693"/>
      <c r="Y42" s="707"/>
      <c r="Z42" s="24"/>
      <c r="AA42" s="30"/>
      <c r="AB42" s="27"/>
      <c r="AC42" s="28"/>
    </row>
    <row r="43" spans="1:29" s="29" customFormat="1" ht="10.5" hidden="1" customHeight="1" thickTop="1">
      <c r="A43" s="375">
        <v>37</v>
      </c>
      <c r="B43" s="376" t="str">
        <f>CONCATENATE(VLOOKUP(A43,Регистрация!$B$7:$N$71,3,FALSE)," ",VLOOKUP(A43,Регистрация!$B$7:$N$71,4,FALSE)," (",VLOOKUP(A43,Регистрация!$B$7:$N$71,11,FALSE),")")</f>
        <v xml:space="preserve">  ()</v>
      </c>
      <c r="C43" s="689"/>
      <c r="D43" s="694"/>
      <c r="E43" s="694"/>
      <c r="F43" s="694"/>
      <c r="G43" s="694"/>
      <c r="H43" s="694"/>
      <c r="I43" s="698">
        <f t="shared" ref="I43" si="33">(SUM(D43:H43)-MIN(D43:H43)-MAX(D43:H43))</f>
        <v>0</v>
      </c>
      <c r="J43" s="697"/>
      <c r="K43" s="694"/>
      <c r="L43" s="694"/>
      <c r="M43" s="694"/>
      <c r="N43" s="694"/>
      <c r="O43" s="694"/>
      <c r="P43" s="698">
        <f t="shared" ref="P43" si="34">(SUM(K43:O43)-MIN(K43:O43)-MAX(K43:O43))</f>
        <v>0</v>
      </c>
      <c r="Q43" s="697"/>
      <c r="R43" s="694"/>
      <c r="S43" s="694"/>
      <c r="T43" s="694"/>
      <c r="U43" s="694"/>
      <c r="V43" s="694"/>
      <c r="W43" s="698">
        <f t="shared" ref="W43" si="35">(SUM(R43:V43)-MIN(R43:V43)-MAX(R43:V43))</f>
        <v>0</v>
      </c>
      <c r="X43" s="708"/>
      <c r="Y43" s="705"/>
      <c r="Z43" s="24"/>
      <c r="AA43" s="30"/>
      <c r="AB43" s="27"/>
      <c r="AC43" s="28"/>
    </row>
    <row r="44" spans="1:29" s="29" customFormat="1" ht="10.5" hidden="1" customHeight="1">
      <c r="A44" s="379">
        <v>38</v>
      </c>
      <c r="B44" s="380" t="str">
        <f>CONCATENATE(VLOOKUP(A44,Регистрация!$B$7:$N$71,3,FALSE)," ",VLOOKUP(A44,Регистрация!$B$7:$N$71,4,FALSE)," (",VLOOKUP(A44,Регистрация!$B$7:$N$71,11,FALSE),")")</f>
        <v xml:space="preserve">  ()</v>
      </c>
      <c r="C44" s="689"/>
      <c r="D44" s="695"/>
      <c r="E44" s="695"/>
      <c r="F44" s="695"/>
      <c r="G44" s="695"/>
      <c r="H44" s="695"/>
      <c r="I44" s="699"/>
      <c r="J44" s="689"/>
      <c r="K44" s="695"/>
      <c r="L44" s="695"/>
      <c r="M44" s="695"/>
      <c r="N44" s="695"/>
      <c r="O44" s="695"/>
      <c r="P44" s="699"/>
      <c r="Q44" s="689"/>
      <c r="R44" s="695"/>
      <c r="S44" s="695"/>
      <c r="T44" s="695"/>
      <c r="U44" s="695"/>
      <c r="V44" s="695"/>
      <c r="W44" s="699"/>
      <c r="X44" s="692"/>
      <c r="Y44" s="706"/>
      <c r="Z44" s="31"/>
      <c r="AA44" s="30"/>
      <c r="AB44" s="27"/>
      <c r="AC44" s="28"/>
    </row>
    <row r="45" spans="1:29" s="29" customFormat="1" ht="10.5" hidden="1" customHeight="1" thickBot="1">
      <c r="A45" s="377">
        <v>39</v>
      </c>
      <c r="B45" s="378" t="str">
        <f>CONCATENATE(VLOOKUP(A45,Регистрация!$B$7:$N$71,3,FALSE)," ",VLOOKUP(A45,Регистрация!$B$7:$N$71,4,FALSE)," (",VLOOKUP(A45,Регистрация!$B$7:$N$71,11,FALSE),")")</f>
        <v xml:space="preserve">  ()</v>
      </c>
      <c r="C45" s="690"/>
      <c r="D45" s="696"/>
      <c r="E45" s="696"/>
      <c r="F45" s="696"/>
      <c r="G45" s="696"/>
      <c r="H45" s="696"/>
      <c r="I45" s="700"/>
      <c r="J45" s="690"/>
      <c r="K45" s="696"/>
      <c r="L45" s="696"/>
      <c r="M45" s="696"/>
      <c r="N45" s="696"/>
      <c r="O45" s="696"/>
      <c r="P45" s="700"/>
      <c r="Q45" s="690"/>
      <c r="R45" s="696"/>
      <c r="S45" s="696"/>
      <c r="T45" s="696"/>
      <c r="U45" s="696"/>
      <c r="V45" s="696"/>
      <c r="W45" s="700"/>
      <c r="X45" s="693"/>
      <c r="Y45" s="707"/>
      <c r="Z45" s="31"/>
      <c r="AA45" s="30"/>
      <c r="AB45" s="27"/>
      <c r="AC45" s="28"/>
    </row>
    <row r="46" spans="1:29" s="29" customFormat="1" ht="10.5" hidden="1" customHeight="1" thickTop="1">
      <c r="A46" s="375">
        <v>40</v>
      </c>
      <c r="B46" s="376" t="str">
        <f>CONCATENATE(VLOOKUP(A46,Регистрация!$B$7:$N$71,3,FALSE)," ",VLOOKUP(A46,Регистрация!$B$7:$N$71,4,FALSE)," (",VLOOKUP(A46,Регистрация!$B$7:$N$71,11,FALSE),")")</f>
        <v xml:space="preserve">  ()</v>
      </c>
      <c r="C46" s="689"/>
      <c r="D46" s="694"/>
      <c r="E46" s="694"/>
      <c r="F46" s="694"/>
      <c r="G46" s="694"/>
      <c r="H46" s="694"/>
      <c r="I46" s="698">
        <f t="shared" ref="I46" si="36">(SUM(D46:H46)-MIN(D46:H46)-MAX(D46:H46))</f>
        <v>0</v>
      </c>
      <c r="J46" s="697"/>
      <c r="K46" s="694"/>
      <c r="L46" s="694"/>
      <c r="M46" s="694"/>
      <c r="N46" s="694"/>
      <c r="O46" s="694"/>
      <c r="P46" s="698">
        <f t="shared" ref="P46" si="37">(SUM(K46:O46)-MIN(K46:O46)-MAX(K46:O46))</f>
        <v>0</v>
      </c>
      <c r="Q46" s="697"/>
      <c r="R46" s="694"/>
      <c r="S46" s="694"/>
      <c r="T46" s="694"/>
      <c r="U46" s="694"/>
      <c r="V46" s="694"/>
      <c r="W46" s="698">
        <f t="shared" ref="W46" si="38">(SUM(R46:V46)-MIN(R46:V46)-MAX(R46:V46))</f>
        <v>0</v>
      </c>
      <c r="X46" s="708"/>
      <c r="Y46" s="705"/>
      <c r="Z46" s="31"/>
      <c r="AA46" s="30"/>
      <c r="AB46" s="27"/>
      <c r="AC46" s="28"/>
    </row>
    <row r="47" spans="1:29" s="29" customFormat="1" ht="10.5" hidden="1" customHeight="1">
      <c r="A47" s="379">
        <v>41</v>
      </c>
      <c r="B47" s="380" t="str">
        <f>CONCATENATE(VLOOKUP(A47,Регистрация!$B$7:$N$71,3,FALSE)," ",VLOOKUP(A47,Регистрация!$B$7:$N$71,4,FALSE)," (",VLOOKUP(A47,Регистрация!$B$7:$N$71,11,FALSE),")")</f>
        <v xml:space="preserve">  ()</v>
      </c>
      <c r="C47" s="689"/>
      <c r="D47" s="695"/>
      <c r="E47" s="695"/>
      <c r="F47" s="695"/>
      <c r="G47" s="695"/>
      <c r="H47" s="695"/>
      <c r="I47" s="699"/>
      <c r="J47" s="689"/>
      <c r="K47" s="695"/>
      <c r="L47" s="695"/>
      <c r="M47" s="695"/>
      <c r="N47" s="695"/>
      <c r="O47" s="695"/>
      <c r="P47" s="699"/>
      <c r="Q47" s="689"/>
      <c r="R47" s="695"/>
      <c r="S47" s="695"/>
      <c r="T47" s="695"/>
      <c r="U47" s="695"/>
      <c r="V47" s="695"/>
      <c r="W47" s="699"/>
      <c r="X47" s="692"/>
      <c r="Y47" s="706"/>
      <c r="Z47" s="24"/>
      <c r="AA47" s="30"/>
      <c r="AB47" s="27"/>
      <c r="AC47" s="28"/>
    </row>
    <row r="48" spans="1:29" s="29" customFormat="1" ht="10.5" hidden="1" customHeight="1" thickBot="1">
      <c r="A48" s="377">
        <v>42</v>
      </c>
      <c r="B48" s="378" t="str">
        <f>CONCATENATE(VLOOKUP(A48,Регистрация!$B$7:$N$71,3,FALSE)," ",VLOOKUP(A48,Регистрация!$B$7:$N$71,4,FALSE)," (",VLOOKUP(A48,Регистрация!$B$7:$N$71,11,FALSE),")")</f>
        <v xml:space="preserve">  ()</v>
      </c>
      <c r="C48" s="690"/>
      <c r="D48" s="696"/>
      <c r="E48" s="696"/>
      <c r="F48" s="696"/>
      <c r="G48" s="696"/>
      <c r="H48" s="696"/>
      <c r="I48" s="700"/>
      <c r="J48" s="690"/>
      <c r="K48" s="696"/>
      <c r="L48" s="696"/>
      <c r="M48" s="696"/>
      <c r="N48" s="696"/>
      <c r="O48" s="696"/>
      <c r="P48" s="700"/>
      <c r="Q48" s="690"/>
      <c r="R48" s="696"/>
      <c r="S48" s="696"/>
      <c r="T48" s="696"/>
      <c r="U48" s="696"/>
      <c r="V48" s="696"/>
      <c r="W48" s="700"/>
      <c r="X48" s="693"/>
      <c r="Y48" s="707"/>
      <c r="Z48" s="24"/>
      <c r="AA48" s="30"/>
      <c r="AB48" s="27"/>
      <c r="AC48" s="28"/>
    </row>
    <row r="49" spans="1:29" s="29" customFormat="1" ht="10.5" hidden="1" customHeight="1" thickTop="1">
      <c r="A49" s="375">
        <v>43</v>
      </c>
      <c r="B49" s="376" t="str">
        <f>CONCATENATE(VLOOKUP(A49,Регистрация!$B$7:$N$71,3,FALSE)," ",VLOOKUP(A49,Регистрация!$B$7:$N$71,4,FALSE)," (",VLOOKUP(A49,Регистрация!$B$7:$N$71,11,FALSE),")")</f>
        <v xml:space="preserve">  ()</v>
      </c>
      <c r="C49" s="689"/>
      <c r="D49" s="694"/>
      <c r="E49" s="694"/>
      <c r="F49" s="694"/>
      <c r="G49" s="694"/>
      <c r="H49" s="694"/>
      <c r="I49" s="698">
        <f t="shared" ref="I49" si="39">(SUM(D49:H49)-MIN(D49:H49)-MAX(D49:H49))</f>
        <v>0</v>
      </c>
      <c r="J49" s="697"/>
      <c r="K49" s="694"/>
      <c r="L49" s="694"/>
      <c r="M49" s="694"/>
      <c r="N49" s="694"/>
      <c r="O49" s="694"/>
      <c r="P49" s="698">
        <f t="shared" ref="P49" si="40">(SUM(K49:O49)-MIN(K49:O49)-MAX(K49:O49))</f>
        <v>0</v>
      </c>
      <c r="Q49" s="697"/>
      <c r="R49" s="694"/>
      <c r="S49" s="694"/>
      <c r="T49" s="694"/>
      <c r="U49" s="694"/>
      <c r="V49" s="694"/>
      <c r="W49" s="698">
        <f t="shared" ref="W49" si="41">(SUM(R49:V49)-MIN(R49:V49)-MAX(R49:V49))</f>
        <v>0</v>
      </c>
      <c r="X49" s="708"/>
      <c r="Y49" s="705"/>
      <c r="Z49" s="24"/>
      <c r="AA49" s="30"/>
      <c r="AB49" s="27"/>
      <c r="AC49" s="28"/>
    </row>
    <row r="50" spans="1:29" s="29" customFormat="1" ht="10.5" hidden="1" customHeight="1">
      <c r="A50" s="379">
        <v>44</v>
      </c>
      <c r="B50" s="380" t="str">
        <f>CONCATENATE(VLOOKUP(A50,Регистрация!$B$7:$N$71,3,FALSE)," ",VLOOKUP(A50,Регистрация!$B$7:$N$71,4,FALSE)," (",VLOOKUP(A50,Регистрация!$B$7:$N$71,11,FALSE),")")</f>
        <v xml:space="preserve">  ()</v>
      </c>
      <c r="C50" s="689"/>
      <c r="D50" s="695"/>
      <c r="E50" s="695"/>
      <c r="F50" s="695"/>
      <c r="G50" s="695"/>
      <c r="H50" s="695"/>
      <c r="I50" s="699"/>
      <c r="J50" s="689"/>
      <c r="K50" s="695"/>
      <c r="L50" s="695"/>
      <c r="M50" s="695"/>
      <c r="N50" s="695"/>
      <c r="O50" s="695"/>
      <c r="P50" s="699"/>
      <c r="Q50" s="689"/>
      <c r="R50" s="695"/>
      <c r="S50" s="695"/>
      <c r="T50" s="695"/>
      <c r="U50" s="695"/>
      <c r="V50" s="695"/>
      <c r="W50" s="699"/>
      <c r="X50" s="692"/>
      <c r="Y50" s="706"/>
      <c r="Z50" s="24"/>
      <c r="AA50" s="30"/>
      <c r="AB50" s="27"/>
      <c r="AC50" s="28"/>
    </row>
    <row r="51" spans="1:29" s="29" customFormat="1" ht="10.5" hidden="1" customHeight="1" thickBot="1">
      <c r="A51" s="377">
        <v>45</v>
      </c>
      <c r="B51" s="378" t="str">
        <f>CONCATENATE(VLOOKUP(A51,Регистрация!$B$7:$N$71,3,FALSE)," ",VLOOKUP(A51,Регистрация!$B$7:$N$71,4,FALSE)," (",VLOOKUP(A51,Регистрация!$B$7:$N$71,11,FALSE),")")</f>
        <v xml:space="preserve">  ()</v>
      </c>
      <c r="C51" s="690"/>
      <c r="D51" s="696"/>
      <c r="E51" s="696"/>
      <c r="F51" s="696"/>
      <c r="G51" s="696"/>
      <c r="H51" s="696"/>
      <c r="I51" s="700"/>
      <c r="J51" s="690"/>
      <c r="K51" s="696"/>
      <c r="L51" s="696"/>
      <c r="M51" s="696"/>
      <c r="N51" s="696"/>
      <c r="O51" s="696"/>
      <c r="P51" s="700"/>
      <c r="Q51" s="690"/>
      <c r="R51" s="696"/>
      <c r="S51" s="696"/>
      <c r="T51" s="696"/>
      <c r="U51" s="696"/>
      <c r="V51" s="696"/>
      <c r="W51" s="700"/>
      <c r="X51" s="693"/>
      <c r="Y51" s="707"/>
      <c r="Z51" s="24"/>
      <c r="AA51" s="30"/>
      <c r="AB51" s="27"/>
      <c r="AC51" s="28"/>
    </row>
    <row r="52" spans="1:29" s="29" customFormat="1" ht="10.5" hidden="1" customHeight="1" thickTop="1">
      <c r="A52" s="375">
        <v>46</v>
      </c>
      <c r="B52" s="376" t="str">
        <f>CONCATENATE(VLOOKUP(A52,Регистрация!$B$7:$N$71,3,FALSE)," ",VLOOKUP(A52,Регистрация!$B$7:$N$71,4,FALSE)," (",VLOOKUP(A52,Регистрация!$B$7:$N$71,11,FALSE),")")</f>
        <v xml:space="preserve">  ()</v>
      </c>
      <c r="C52" s="689"/>
      <c r="D52" s="694"/>
      <c r="E52" s="694"/>
      <c r="F52" s="694"/>
      <c r="G52" s="694"/>
      <c r="H52" s="694"/>
      <c r="I52" s="698">
        <f t="shared" ref="I52" si="42">(SUM(D52:H52)-MIN(D52:H52)-MAX(D52:H52))</f>
        <v>0</v>
      </c>
      <c r="J52" s="697"/>
      <c r="K52" s="694"/>
      <c r="L52" s="694"/>
      <c r="M52" s="694"/>
      <c r="N52" s="694"/>
      <c r="O52" s="694"/>
      <c r="P52" s="698">
        <f t="shared" ref="P52" si="43">(SUM(K52:O52)-MIN(K52:O52)-MAX(K52:O52))</f>
        <v>0</v>
      </c>
      <c r="Q52" s="697"/>
      <c r="R52" s="694"/>
      <c r="S52" s="694"/>
      <c r="T52" s="694"/>
      <c r="U52" s="694"/>
      <c r="V52" s="694"/>
      <c r="W52" s="698">
        <f t="shared" ref="W52" si="44">(SUM(R52:V52)-MIN(R52:V52)-MAX(R52:V52))</f>
        <v>0</v>
      </c>
      <c r="X52" s="708"/>
      <c r="Y52" s="705"/>
      <c r="Z52" s="31"/>
      <c r="AA52" s="30"/>
      <c r="AB52" s="27"/>
      <c r="AC52" s="28"/>
    </row>
    <row r="53" spans="1:29" s="29" customFormat="1" ht="10.5" hidden="1" customHeight="1">
      <c r="A53" s="379">
        <v>47</v>
      </c>
      <c r="B53" s="380" t="str">
        <f>CONCATENATE(VLOOKUP(A53,Регистрация!$B$7:$N$71,3,FALSE)," ",VLOOKUP(A53,Регистрация!$B$7:$N$71,4,FALSE)," (",VLOOKUP(A53,Регистрация!$B$7:$N$71,11,FALSE),")")</f>
        <v xml:space="preserve">  ()</v>
      </c>
      <c r="C53" s="689"/>
      <c r="D53" s="695"/>
      <c r="E53" s="695"/>
      <c r="F53" s="695"/>
      <c r="G53" s="695"/>
      <c r="H53" s="695"/>
      <c r="I53" s="699"/>
      <c r="J53" s="689"/>
      <c r="K53" s="695"/>
      <c r="L53" s="695"/>
      <c r="M53" s="695"/>
      <c r="N53" s="695"/>
      <c r="O53" s="695"/>
      <c r="P53" s="699"/>
      <c r="Q53" s="689"/>
      <c r="R53" s="695"/>
      <c r="S53" s="695"/>
      <c r="T53" s="695"/>
      <c r="U53" s="695"/>
      <c r="V53" s="695"/>
      <c r="W53" s="699"/>
      <c r="X53" s="692"/>
      <c r="Y53" s="706"/>
      <c r="Z53" s="31"/>
      <c r="AA53" s="30"/>
      <c r="AB53" s="27"/>
      <c r="AC53" s="28"/>
    </row>
    <row r="54" spans="1:29" s="29" customFormat="1" ht="10.5" hidden="1" customHeight="1" thickBot="1">
      <c r="A54" s="377">
        <v>48</v>
      </c>
      <c r="B54" s="378" t="str">
        <f>CONCATENATE(VLOOKUP(A54,Регистрация!$B$7:$N$71,3,FALSE)," ",VLOOKUP(A54,Регистрация!$B$7:$N$71,4,FALSE)," (",VLOOKUP(A54,Регистрация!$B$7:$N$71,11,FALSE),")")</f>
        <v xml:space="preserve">  ()</v>
      </c>
      <c r="C54" s="690"/>
      <c r="D54" s="696"/>
      <c r="E54" s="696"/>
      <c r="F54" s="696"/>
      <c r="G54" s="696"/>
      <c r="H54" s="696"/>
      <c r="I54" s="700"/>
      <c r="J54" s="690"/>
      <c r="K54" s="696"/>
      <c r="L54" s="696"/>
      <c r="M54" s="696"/>
      <c r="N54" s="696"/>
      <c r="O54" s="696"/>
      <c r="P54" s="700"/>
      <c r="Q54" s="690"/>
      <c r="R54" s="696"/>
      <c r="S54" s="696"/>
      <c r="T54" s="696"/>
      <c r="U54" s="696"/>
      <c r="V54" s="696"/>
      <c r="W54" s="700"/>
      <c r="X54" s="693"/>
      <c r="Y54" s="707"/>
      <c r="Z54" s="31"/>
      <c r="AA54" s="31"/>
      <c r="AB54" s="31"/>
      <c r="AC54" s="359"/>
    </row>
    <row r="55" spans="1:29" s="29" customFormat="1" ht="10.5" hidden="1" customHeight="1" thickTop="1">
      <c r="A55" s="375">
        <v>49</v>
      </c>
      <c r="B55" s="376" t="str">
        <f>CONCATENATE(VLOOKUP(A55,Регистрация!$B$7:$N$71,3,FALSE)," ",VLOOKUP(A55,Регистрация!$B$7:$N$71,4,FALSE)," (",VLOOKUP(A55,Регистрация!$B$7:$N$71,11,FALSE),")")</f>
        <v xml:space="preserve">  ()</v>
      </c>
      <c r="C55" s="689"/>
      <c r="D55" s="694"/>
      <c r="E55" s="694"/>
      <c r="F55" s="694"/>
      <c r="G55" s="694"/>
      <c r="H55" s="694"/>
      <c r="I55" s="698">
        <f t="shared" ref="I55" si="45">(SUM(D55:H55)-MIN(D55:H55)-MAX(D55:H55))</f>
        <v>0</v>
      </c>
      <c r="J55" s="697"/>
      <c r="K55" s="694"/>
      <c r="L55" s="694"/>
      <c r="M55" s="694"/>
      <c r="N55" s="694"/>
      <c r="O55" s="694"/>
      <c r="P55" s="698">
        <f t="shared" ref="P55" si="46">(SUM(K55:O55)-MIN(K55:O55)-MAX(K55:O55))</f>
        <v>0</v>
      </c>
      <c r="Q55" s="697"/>
      <c r="R55" s="694"/>
      <c r="S55" s="694"/>
      <c r="T55" s="694"/>
      <c r="U55" s="694"/>
      <c r="V55" s="694"/>
      <c r="W55" s="698">
        <f t="shared" ref="W55" si="47">(SUM(R55:V55)-MIN(R55:V55)-MAX(R55:V55))</f>
        <v>0</v>
      </c>
      <c r="X55" s="708"/>
      <c r="Y55" s="705"/>
      <c r="Z55" s="31"/>
      <c r="AA55" s="360"/>
      <c r="AB55" s="360"/>
      <c r="AC55" s="359"/>
    </row>
    <row r="56" spans="1:29" s="29" customFormat="1" ht="10.5" hidden="1" customHeight="1">
      <c r="A56" s="379">
        <v>50</v>
      </c>
      <c r="B56" s="380" t="str">
        <f>CONCATENATE(VLOOKUP(A56,Регистрация!$B$7:$N$71,3,FALSE)," ",VLOOKUP(A56,Регистрация!$B$7:$N$71,4,FALSE)," (",VLOOKUP(A56,Регистрация!$B$7:$N$71,11,FALSE),")")</f>
        <v xml:space="preserve">  ()</v>
      </c>
      <c r="C56" s="689"/>
      <c r="D56" s="695"/>
      <c r="E56" s="695"/>
      <c r="F56" s="695"/>
      <c r="G56" s="695"/>
      <c r="H56" s="695"/>
      <c r="I56" s="699"/>
      <c r="J56" s="689"/>
      <c r="K56" s="695"/>
      <c r="L56" s="695"/>
      <c r="M56" s="695"/>
      <c r="N56" s="695"/>
      <c r="O56" s="695"/>
      <c r="P56" s="699"/>
      <c r="Q56" s="689"/>
      <c r="R56" s="695"/>
      <c r="S56" s="695"/>
      <c r="T56" s="695"/>
      <c r="U56" s="695"/>
      <c r="V56" s="695"/>
      <c r="W56" s="699"/>
      <c r="X56" s="692"/>
      <c r="Y56" s="706"/>
      <c r="Z56" s="24"/>
      <c r="AA56" s="31"/>
      <c r="AB56" s="31"/>
      <c r="AC56" s="359"/>
    </row>
    <row r="57" spans="1:29" s="29" customFormat="1" ht="10.5" hidden="1" customHeight="1" thickBot="1">
      <c r="A57" s="377">
        <v>51</v>
      </c>
      <c r="B57" s="378" t="str">
        <f>CONCATENATE(VLOOKUP(A57,Регистрация!$B$7:$N$71,3,FALSE)," ",VLOOKUP(A57,Регистрация!$B$7:$N$71,4,FALSE)," (",VLOOKUP(A57,Регистрация!$B$7:$N$71,11,FALSE),")")</f>
        <v xml:space="preserve">  ()</v>
      </c>
      <c r="C57" s="690"/>
      <c r="D57" s="696"/>
      <c r="E57" s="696"/>
      <c r="F57" s="696"/>
      <c r="G57" s="696"/>
      <c r="H57" s="696"/>
      <c r="I57" s="700"/>
      <c r="J57" s="690"/>
      <c r="K57" s="696"/>
      <c r="L57" s="696"/>
      <c r="M57" s="696"/>
      <c r="N57" s="696"/>
      <c r="O57" s="696"/>
      <c r="P57" s="700"/>
      <c r="Q57" s="690"/>
      <c r="R57" s="696"/>
      <c r="S57" s="696"/>
      <c r="T57" s="696"/>
      <c r="U57" s="696"/>
      <c r="V57" s="696"/>
      <c r="W57" s="700"/>
      <c r="X57" s="693"/>
      <c r="Y57" s="707"/>
      <c r="Z57" s="24"/>
      <c r="AA57" s="360"/>
      <c r="AB57" s="360"/>
      <c r="AC57" s="359"/>
    </row>
    <row r="58" spans="1:29" s="29" customFormat="1" ht="10.5" hidden="1" customHeight="1" thickTop="1">
      <c r="A58" s="375">
        <v>52</v>
      </c>
      <c r="B58" s="376" t="str">
        <f>CONCATENATE(VLOOKUP(A58,Регистрация!$B$7:$N$71,3,FALSE)," ",VLOOKUP(A58,Регистрация!$B$7:$N$71,4,FALSE)," (",VLOOKUP(A58,Регистрация!$B$7:$N$71,11,FALSE),")")</f>
        <v xml:space="preserve">  ()</v>
      </c>
      <c r="C58" s="689"/>
      <c r="D58" s="694"/>
      <c r="E58" s="694"/>
      <c r="F58" s="694"/>
      <c r="G58" s="694"/>
      <c r="H58" s="694"/>
      <c r="I58" s="698">
        <f t="shared" ref="I58" si="48">(SUM(D58:H58)-MIN(D58:H58)-MAX(D58:H58))</f>
        <v>0</v>
      </c>
      <c r="J58" s="697"/>
      <c r="K58" s="694"/>
      <c r="L58" s="694"/>
      <c r="M58" s="694"/>
      <c r="N58" s="694"/>
      <c r="O58" s="694"/>
      <c r="P58" s="698">
        <f t="shared" ref="P58" si="49">(SUM(K58:O58)-MIN(K58:O58)-MAX(K58:O58))</f>
        <v>0</v>
      </c>
      <c r="Q58" s="697"/>
      <c r="R58" s="694"/>
      <c r="S58" s="694"/>
      <c r="T58" s="694"/>
      <c r="U58" s="694"/>
      <c r="V58" s="694"/>
      <c r="W58" s="698">
        <f t="shared" ref="W58" si="50">(SUM(R58:V58)-MIN(R58:V58)-MAX(R58:V58))</f>
        <v>0</v>
      </c>
      <c r="X58" s="708"/>
      <c r="Y58" s="705"/>
      <c r="Z58" s="24"/>
      <c r="AA58" s="361"/>
      <c r="AB58" s="361"/>
      <c r="AC58" s="24"/>
    </row>
    <row r="59" spans="1:29" s="29" customFormat="1" ht="10.5" hidden="1" customHeight="1">
      <c r="A59" s="379">
        <v>53</v>
      </c>
      <c r="B59" s="380" t="str">
        <f>CONCATENATE(VLOOKUP(A59,Регистрация!$B$7:$N$71,3,FALSE)," ",VLOOKUP(A59,Регистрация!$B$7:$N$71,4,FALSE)," (",VLOOKUP(A59,Регистрация!$B$7:$N$71,11,FALSE),")")</f>
        <v xml:space="preserve">  ()</v>
      </c>
      <c r="C59" s="689"/>
      <c r="D59" s="695"/>
      <c r="E59" s="695"/>
      <c r="F59" s="695"/>
      <c r="G59" s="695"/>
      <c r="H59" s="695"/>
      <c r="I59" s="699"/>
      <c r="J59" s="689"/>
      <c r="K59" s="695"/>
      <c r="L59" s="695"/>
      <c r="M59" s="695"/>
      <c r="N59" s="695"/>
      <c r="O59" s="695"/>
      <c r="P59" s="699"/>
      <c r="Q59" s="689"/>
      <c r="R59" s="695"/>
      <c r="S59" s="695"/>
      <c r="T59" s="695"/>
      <c r="U59" s="695"/>
      <c r="V59" s="695"/>
      <c r="W59" s="699"/>
      <c r="X59" s="692"/>
      <c r="Y59" s="706"/>
      <c r="Z59" s="362"/>
      <c r="AA59" s="363"/>
      <c r="AB59" s="364"/>
      <c r="AC59" s="365"/>
    </row>
    <row r="60" spans="1:29" s="29" customFormat="1" ht="10.5" hidden="1" customHeight="1" thickBot="1">
      <c r="A60" s="377">
        <v>54</v>
      </c>
      <c r="B60" s="378" t="str">
        <f>CONCATENATE(VLOOKUP(A60,Регистрация!$B$7:$N$71,3,FALSE)," ",VLOOKUP(A60,Регистрация!$B$7:$N$71,4,FALSE)," (",VLOOKUP(A60,Регистрация!$B$7:$N$71,11,FALSE),")")</f>
        <v xml:space="preserve">  ()</v>
      </c>
      <c r="C60" s="690"/>
      <c r="D60" s="696"/>
      <c r="E60" s="696"/>
      <c r="F60" s="696"/>
      <c r="G60" s="696"/>
      <c r="H60" s="696"/>
      <c r="I60" s="700"/>
      <c r="J60" s="690"/>
      <c r="K60" s="696"/>
      <c r="L60" s="696"/>
      <c r="M60" s="696"/>
      <c r="N60" s="696"/>
      <c r="O60" s="696"/>
      <c r="P60" s="700"/>
      <c r="Q60" s="690"/>
      <c r="R60" s="696"/>
      <c r="S60" s="696"/>
      <c r="T60" s="696"/>
      <c r="U60" s="696"/>
      <c r="V60" s="696"/>
      <c r="W60" s="700"/>
      <c r="X60" s="693"/>
      <c r="Y60" s="707"/>
      <c r="Z60" s="363"/>
      <c r="AA60" s="363"/>
      <c r="AB60" s="364"/>
      <c r="AC60" s="365"/>
    </row>
    <row r="61" spans="1:29" s="29" customFormat="1" ht="10.5" hidden="1" customHeight="1" thickTop="1">
      <c r="A61" s="375">
        <v>55</v>
      </c>
      <c r="B61" s="376" t="str">
        <f>CONCATENATE(VLOOKUP(A61,Регистрация!$B$7:$N$71,3,FALSE)," ",VLOOKUP(A61,Регистрация!$B$7:$N$71,4,FALSE)," (",VLOOKUP(A61,Регистрация!$B$7:$N$71,11,FALSE),")")</f>
        <v xml:space="preserve">  ()</v>
      </c>
      <c r="C61" s="689"/>
      <c r="D61" s="694"/>
      <c r="E61" s="694"/>
      <c r="F61" s="694"/>
      <c r="G61" s="694"/>
      <c r="H61" s="694"/>
      <c r="I61" s="698">
        <f t="shared" ref="I61" si="51">(SUM(D61:H61)-MIN(D61:H61)-MAX(D61:H61))</f>
        <v>0</v>
      </c>
      <c r="J61" s="697"/>
      <c r="K61" s="694"/>
      <c r="L61" s="694"/>
      <c r="M61" s="694"/>
      <c r="N61" s="694"/>
      <c r="O61" s="694"/>
      <c r="P61" s="698">
        <f t="shared" ref="P61" si="52">(SUM(K61:O61)-MIN(K61:O61)-MAX(K61:O61))</f>
        <v>0</v>
      </c>
      <c r="Q61" s="697"/>
      <c r="R61" s="694"/>
      <c r="S61" s="694"/>
      <c r="T61" s="694"/>
      <c r="U61" s="694"/>
      <c r="V61" s="694"/>
      <c r="W61" s="698">
        <f t="shared" ref="W61" si="53">(SUM(R61:V61)-MIN(R61:V61)-MAX(R61:V61))</f>
        <v>0</v>
      </c>
      <c r="X61" s="708"/>
      <c r="Y61" s="705"/>
      <c r="Z61" s="363"/>
      <c r="AA61" s="363"/>
      <c r="AB61" s="363"/>
      <c r="AC61" s="365"/>
    </row>
    <row r="62" spans="1:29" s="29" customFormat="1" ht="10.5" hidden="1" customHeight="1">
      <c r="A62" s="379">
        <v>56</v>
      </c>
      <c r="B62" s="380" t="str">
        <f>CONCATENATE(VLOOKUP(A62,Регистрация!$B$7:$N$71,3,FALSE)," ",VLOOKUP(A62,Регистрация!$B$7:$N$71,4,FALSE)," (",VLOOKUP(A62,Регистрация!$B$7:$N$71,11,FALSE),")")</f>
        <v xml:space="preserve">  ()</v>
      </c>
      <c r="C62" s="689"/>
      <c r="D62" s="695"/>
      <c r="E62" s="695"/>
      <c r="F62" s="695"/>
      <c r="G62" s="695"/>
      <c r="H62" s="695"/>
      <c r="I62" s="699"/>
      <c r="J62" s="689"/>
      <c r="K62" s="695"/>
      <c r="L62" s="695"/>
      <c r="M62" s="695"/>
      <c r="N62" s="695"/>
      <c r="O62" s="695"/>
      <c r="P62" s="699"/>
      <c r="Q62" s="689"/>
      <c r="R62" s="695"/>
      <c r="S62" s="695"/>
      <c r="T62" s="695"/>
      <c r="U62" s="695"/>
      <c r="V62" s="695"/>
      <c r="W62" s="699"/>
      <c r="X62" s="692"/>
      <c r="Y62" s="706"/>
      <c r="Z62" s="362"/>
      <c r="AA62" s="362"/>
      <c r="AB62" s="364"/>
      <c r="AC62" s="365"/>
    </row>
    <row r="63" spans="1:29" s="29" customFormat="1" ht="10.5" hidden="1" customHeight="1" thickBot="1">
      <c r="A63" s="377">
        <v>57</v>
      </c>
      <c r="B63" s="378" t="str">
        <f>CONCATENATE(VLOOKUP(A63,Регистрация!$B$7:$N$71,3,FALSE)," ",VLOOKUP(A63,Регистрация!$B$7:$N$71,4,FALSE)," (",VLOOKUP(A63,Регистрация!$B$7:$N$71,11,FALSE),")")</f>
        <v xml:space="preserve">  ()</v>
      </c>
      <c r="C63" s="690"/>
      <c r="D63" s="696"/>
      <c r="E63" s="696"/>
      <c r="F63" s="696"/>
      <c r="G63" s="696"/>
      <c r="H63" s="696"/>
      <c r="I63" s="700"/>
      <c r="J63" s="690"/>
      <c r="K63" s="696"/>
      <c r="L63" s="696"/>
      <c r="M63" s="696"/>
      <c r="N63" s="696"/>
      <c r="O63" s="696"/>
      <c r="P63" s="700"/>
      <c r="Q63" s="690"/>
      <c r="R63" s="696"/>
      <c r="S63" s="696"/>
      <c r="T63" s="696"/>
      <c r="U63" s="696"/>
      <c r="V63" s="696"/>
      <c r="W63" s="700"/>
      <c r="X63" s="693"/>
      <c r="Y63" s="707"/>
      <c r="Z63" s="362"/>
      <c r="AA63" s="362"/>
      <c r="AB63" s="366"/>
      <c r="AC63" s="365"/>
    </row>
    <row r="64" spans="1:29" ht="10.5" hidden="1" customHeight="1" thickTop="1">
      <c r="A64" s="375">
        <v>58</v>
      </c>
      <c r="B64" s="376" t="str">
        <f>CONCATENATE(VLOOKUP(A64,Регистрация!$B$7:$N$71,3,FALSE)," ",VLOOKUP(A64,Регистрация!$B$7:$N$71,4,FALSE)," (",VLOOKUP(A64,Регистрация!$B$7:$N$71,11,FALSE),")")</f>
        <v xml:space="preserve">  ()</v>
      </c>
      <c r="C64" s="689"/>
      <c r="D64" s="694"/>
      <c r="E64" s="694"/>
      <c r="F64" s="694"/>
      <c r="G64" s="694"/>
      <c r="H64" s="694"/>
      <c r="I64" s="698">
        <f t="shared" ref="I64" si="54">(SUM(D64:H64)-MIN(D64:H64)-MAX(D64:H64))</f>
        <v>0</v>
      </c>
      <c r="J64" s="697"/>
      <c r="K64" s="694"/>
      <c r="L64" s="694"/>
      <c r="M64" s="694"/>
      <c r="N64" s="694"/>
      <c r="O64" s="694"/>
      <c r="P64" s="698">
        <f t="shared" ref="P64" si="55">(SUM(K64:O64)-MIN(K64:O64)-MAX(K64:O64))</f>
        <v>0</v>
      </c>
      <c r="Q64" s="697"/>
      <c r="R64" s="694"/>
      <c r="S64" s="694"/>
      <c r="T64" s="694"/>
      <c r="U64" s="694"/>
      <c r="V64" s="694"/>
      <c r="W64" s="698">
        <f t="shared" ref="W64" si="56">(SUM(R64:V64)-MIN(R64:V64)-MAX(R64:V64))</f>
        <v>0</v>
      </c>
      <c r="X64" s="708"/>
      <c r="Y64" s="705"/>
      <c r="Z64" s="32"/>
      <c r="AA64" s="32"/>
      <c r="AB64" s="32"/>
    </row>
    <row r="65" spans="1:28" ht="10.5" hidden="1" customHeight="1">
      <c r="A65" s="379">
        <v>59</v>
      </c>
      <c r="B65" s="380" t="str">
        <f>CONCATENATE(VLOOKUP(A65,Регистрация!$B$7:$N$71,3,FALSE)," ",VLOOKUP(A65,Регистрация!$B$7:$N$71,4,FALSE)," (",VLOOKUP(A65,Регистрация!$B$7:$N$71,11,FALSE),")")</f>
        <v xml:space="preserve">  ()</v>
      </c>
      <c r="C65" s="689"/>
      <c r="D65" s="695"/>
      <c r="E65" s="695"/>
      <c r="F65" s="695"/>
      <c r="G65" s="695"/>
      <c r="H65" s="695"/>
      <c r="I65" s="699"/>
      <c r="J65" s="689"/>
      <c r="K65" s="695"/>
      <c r="L65" s="695"/>
      <c r="M65" s="695"/>
      <c r="N65" s="695"/>
      <c r="O65" s="695"/>
      <c r="P65" s="699"/>
      <c r="Q65" s="689"/>
      <c r="R65" s="695"/>
      <c r="S65" s="695"/>
      <c r="T65" s="695"/>
      <c r="U65" s="695"/>
      <c r="V65" s="695"/>
      <c r="W65" s="699"/>
      <c r="X65" s="692"/>
      <c r="Y65" s="706"/>
      <c r="Z65" s="32"/>
      <c r="AA65" s="32"/>
      <c r="AB65" s="32"/>
    </row>
    <row r="66" spans="1:28" ht="10.5" hidden="1" customHeight="1" thickBot="1">
      <c r="A66" s="377">
        <v>60</v>
      </c>
      <c r="B66" s="378" t="str">
        <f>CONCATENATE(VLOOKUP(A66,Регистрация!$B$7:$N$71,3,FALSE)," ",VLOOKUP(A66,Регистрация!$B$7:$N$71,4,FALSE)," (",VLOOKUP(A66,Регистрация!$B$7:$N$71,11,FALSE),")")</f>
        <v xml:space="preserve">  ()</v>
      </c>
      <c r="C66" s="690"/>
      <c r="D66" s="696"/>
      <c r="E66" s="696"/>
      <c r="F66" s="696"/>
      <c r="G66" s="696"/>
      <c r="H66" s="696"/>
      <c r="I66" s="700"/>
      <c r="J66" s="690"/>
      <c r="K66" s="696"/>
      <c r="L66" s="696"/>
      <c r="M66" s="696"/>
      <c r="N66" s="696"/>
      <c r="O66" s="696"/>
      <c r="P66" s="700"/>
      <c r="Q66" s="690"/>
      <c r="R66" s="696"/>
      <c r="S66" s="696"/>
      <c r="T66" s="696"/>
      <c r="U66" s="696"/>
      <c r="V66" s="696"/>
      <c r="W66" s="700"/>
      <c r="X66" s="693"/>
      <c r="Y66" s="707"/>
      <c r="Z66" s="32"/>
      <c r="AA66" s="32"/>
      <c r="AB66" s="32"/>
    </row>
    <row r="67" spans="1:28" ht="10.5" hidden="1" customHeight="1" thickTop="1">
      <c r="A67" s="375">
        <v>61</v>
      </c>
      <c r="B67" s="376" t="str">
        <f>CONCATENATE(VLOOKUP(A67,Регистрация!$B$7:$N$71,3,FALSE)," ",VLOOKUP(A67,Регистрация!$B$7:$N$71,4,FALSE)," (",VLOOKUP(A67,Регистрация!$B$7:$N$71,11,FALSE),")")</f>
        <v xml:space="preserve">  ()</v>
      </c>
      <c r="C67" s="697"/>
      <c r="D67" s="694"/>
      <c r="E67" s="694"/>
      <c r="F67" s="694"/>
      <c r="G67" s="694"/>
      <c r="H67" s="694"/>
      <c r="I67" s="698">
        <f t="shared" ref="I67" si="57">(SUM(D67:H67)-MIN(D67:H67)-MAX(D67:H67))</f>
        <v>0</v>
      </c>
      <c r="J67" s="697"/>
      <c r="K67" s="694"/>
      <c r="L67" s="694"/>
      <c r="M67" s="694"/>
      <c r="N67" s="694"/>
      <c r="O67" s="694"/>
      <c r="P67" s="698">
        <f t="shared" ref="P67" si="58">(SUM(K67:O67)-MIN(K67:O67)-MAX(K67:O67))</f>
        <v>0</v>
      </c>
      <c r="Q67" s="697"/>
      <c r="R67" s="694"/>
      <c r="S67" s="694"/>
      <c r="T67" s="694"/>
      <c r="U67" s="694"/>
      <c r="V67" s="694"/>
      <c r="W67" s="698">
        <f t="shared" ref="W67" si="59">(SUM(R67:V67)-MIN(R67:V67)-MAX(R67:V67))</f>
        <v>0</v>
      </c>
      <c r="X67" s="708"/>
      <c r="Y67" s="705"/>
      <c r="Z67" s="32"/>
      <c r="AA67" s="32"/>
      <c r="AB67" s="32"/>
    </row>
    <row r="68" spans="1:28" ht="10.5" hidden="1" customHeight="1">
      <c r="A68" s="379">
        <v>62</v>
      </c>
      <c r="B68" s="380" t="str">
        <f>CONCATENATE(VLOOKUP(A68,Регистрация!$B$7:$N$71,3,FALSE)," ",VLOOKUP(A68,Регистрация!$B$7:$N$71,4,FALSE)," (",VLOOKUP(A68,Регистрация!$B$7:$N$71,11,FALSE),")")</f>
        <v xml:space="preserve">  ()</v>
      </c>
      <c r="C68" s="689"/>
      <c r="D68" s="695"/>
      <c r="E68" s="695"/>
      <c r="F68" s="695"/>
      <c r="G68" s="695"/>
      <c r="H68" s="695"/>
      <c r="I68" s="699"/>
      <c r="J68" s="689"/>
      <c r="K68" s="695"/>
      <c r="L68" s="695"/>
      <c r="M68" s="695"/>
      <c r="N68" s="695"/>
      <c r="O68" s="695"/>
      <c r="P68" s="699"/>
      <c r="Q68" s="689"/>
      <c r="R68" s="695"/>
      <c r="S68" s="695"/>
      <c r="T68" s="695"/>
      <c r="U68" s="695"/>
      <c r="V68" s="695"/>
      <c r="W68" s="699"/>
      <c r="X68" s="692"/>
      <c r="Y68" s="706"/>
      <c r="Z68" s="32"/>
      <c r="AA68" s="32"/>
      <c r="AB68" s="32"/>
    </row>
    <row r="69" spans="1:28" ht="10.5" hidden="1" customHeight="1">
      <c r="A69" s="371">
        <v>63</v>
      </c>
      <c r="B69" s="211" t="str">
        <f>CONCATENATE(VLOOKUP(A69,Регистрация!$B$7:$N$71,3,FALSE)," ",VLOOKUP(A69,Регистрация!$B$7:$N$71,4,FALSE)," (",VLOOKUP(A69,Регистрация!$B$7:$N$71,11,FALSE),")")</f>
        <v xml:space="preserve">  ()</v>
      </c>
      <c r="C69" s="701"/>
      <c r="D69" s="704"/>
      <c r="E69" s="704"/>
      <c r="F69" s="704"/>
      <c r="G69" s="704"/>
      <c r="H69" s="704"/>
      <c r="I69" s="710"/>
      <c r="J69" s="701"/>
      <c r="K69" s="704"/>
      <c r="L69" s="704"/>
      <c r="M69" s="704"/>
      <c r="N69" s="704"/>
      <c r="O69" s="704"/>
      <c r="P69" s="710"/>
      <c r="Q69" s="701"/>
      <c r="R69" s="704"/>
      <c r="S69" s="704"/>
      <c r="T69" s="704"/>
      <c r="U69" s="704"/>
      <c r="V69" s="704"/>
      <c r="W69" s="710"/>
      <c r="X69" s="711"/>
      <c r="Y69" s="712"/>
      <c r="Z69" s="32"/>
      <c r="AA69" s="32"/>
      <c r="AB69" s="32"/>
    </row>
    <row r="70" spans="1:28" ht="27.75" hidden="1" customHeight="1">
      <c r="A70" s="385">
        <v>64</v>
      </c>
      <c r="B70" s="211" t="s">
        <v>49</v>
      </c>
      <c r="C70" s="383"/>
      <c r="D70" s="381"/>
      <c r="E70" s="381"/>
      <c r="F70" s="381"/>
      <c r="G70" s="381"/>
      <c r="H70" s="381"/>
      <c r="I70" s="382">
        <f t="shared" ref="I70" si="60">SUM(D70:H70)-MIN(D70:H70)-MAX(D70:H70)</f>
        <v>0</v>
      </c>
      <c r="J70" s="383"/>
      <c r="K70" s="381"/>
      <c r="L70" s="381"/>
      <c r="M70" s="381"/>
      <c r="N70" s="381"/>
      <c r="O70" s="381"/>
      <c r="P70" s="382">
        <f t="shared" ref="P70" si="61">SUM(K74:O74)-MIN(K74:O74)-MAX(K74:O74)</f>
        <v>0</v>
      </c>
      <c r="Q70" s="383"/>
      <c r="R70" s="381"/>
      <c r="S70" s="381"/>
      <c r="T70" s="381"/>
      <c r="U70" s="381"/>
      <c r="V70" s="381"/>
      <c r="W70" s="382">
        <f t="shared" ref="W70" si="62">SUM(R70:V70)-MIN(R70:V70)-MAX(R70:V70)</f>
        <v>0</v>
      </c>
      <c r="X70" s="382"/>
      <c r="Y70" s="384"/>
      <c r="Z70" s="32"/>
      <c r="AA70" s="32"/>
      <c r="AB70" s="32"/>
    </row>
    <row r="71" spans="1:28" ht="13.5" customHeight="1" thickTop="1">
      <c r="A71" s="367"/>
      <c r="B71" s="368"/>
      <c r="C71" s="369"/>
      <c r="D71" s="369"/>
      <c r="E71" s="369"/>
      <c r="F71" s="369"/>
      <c r="G71" s="369"/>
      <c r="H71" s="369"/>
      <c r="I71" s="369"/>
      <c r="J71" s="369"/>
      <c r="K71" s="369"/>
      <c r="L71" s="369"/>
      <c r="M71" s="369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</row>
    <row r="72" spans="1:28" ht="13.5" customHeight="1">
      <c r="A72" s="21"/>
      <c r="B72" s="702" t="str">
        <f>Регистрация!F73</f>
        <v>Главный судья:</v>
      </c>
      <c r="C72" s="703"/>
      <c r="D72" s="703"/>
      <c r="E72" s="217"/>
      <c r="F72" s="217"/>
      <c r="G72" s="217"/>
      <c r="H72" s="217"/>
      <c r="I72" s="217"/>
      <c r="J72" s="217"/>
      <c r="K72" s="217"/>
      <c r="L72" s="217"/>
      <c r="M72" s="217"/>
      <c r="N72" s="709" t="str">
        <f>Регистрация!N73</f>
        <v>Цыльев В.А. С1К</v>
      </c>
      <c r="O72" s="709"/>
      <c r="P72" s="709"/>
      <c r="Q72" s="709"/>
      <c r="R72" s="709"/>
      <c r="S72" s="709"/>
      <c r="T72" s="709"/>
      <c r="U72" s="709"/>
      <c r="V72" s="709"/>
      <c r="W72" s="709"/>
      <c r="X72" s="709"/>
      <c r="Y72" s="709"/>
      <c r="Z72" s="227"/>
      <c r="AA72" s="227"/>
      <c r="AB72" s="227"/>
    </row>
    <row r="73" spans="1:28" ht="13.5" customHeight="1">
      <c r="A73" s="21"/>
      <c r="B73" s="229"/>
      <c r="C73" s="229"/>
      <c r="D73" s="229"/>
      <c r="E73" s="227"/>
      <c r="F73" s="227"/>
      <c r="G73" s="227"/>
      <c r="H73" s="227"/>
      <c r="I73" s="227"/>
      <c r="J73" s="227"/>
      <c r="K73" s="227"/>
      <c r="L73" s="227"/>
      <c r="M73" s="227"/>
      <c r="N73" s="370"/>
      <c r="O73" s="370"/>
      <c r="P73" s="370"/>
      <c r="Q73" s="370"/>
      <c r="R73" s="370"/>
      <c r="S73" s="370"/>
      <c r="T73" s="370"/>
      <c r="U73" s="370"/>
      <c r="V73" s="370"/>
      <c r="W73" s="370"/>
      <c r="X73" s="370"/>
      <c r="Y73" s="334"/>
      <c r="Z73" s="227"/>
      <c r="AA73" s="228"/>
      <c r="AB73" s="228"/>
    </row>
    <row r="74" spans="1:28" ht="13.5" customHeight="1">
      <c r="A74" s="21"/>
      <c r="B74" s="702" t="str">
        <f>Регистрация!F74</f>
        <v>Главный секретерь:</v>
      </c>
      <c r="C74" s="703"/>
      <c r="D74" s="703"/>
      <c r="E74" s="217"/>
      <c r="F74" s="217"/>
      <c r="G74" s="217"/>
      <c r="H74" s="217"/>
      <c r="I74" s="217"/>
      <c r="J74" s="217"/>
      <c r="K74" s="217"/>
      <c r="L74" s="217"/>
      <c r="M74" s="217"/>
      <c r="N74" s="709" t="str">
        <f>Регистрация!N74</f>
        <v>Орлова Е.С 3 К</v>
      </c>
      <c r="O74" s="709"/>
      <c r="P74" s="709"/>
      <c r="Q74" s="709"/>
      <c r="R74" s="709"/>
      <c r="S74" s="709"/>
      <c r="T74" s="709"/>
      <c r="U74" s="709"/>
      <c r="V74" s="709"/>
      <c r="W74" s="709"/>
      <c r="X74" s="709"/>
      <c r="Y74" s="709"/>
      <c r="Z74" s="227"/>
      <c r="AA74" s="227"/>
      <c r="AB74" s="227"/>
    </row>
    <row r="75" spans="1:28" ht="13.5" customHeight="1">
      <c r="A75" s="21"/>
    </row>
    <row r="76" spans="1:28" ht="13.5" customHeight="1">
      <c r="A76" s="21"/>
    </row>
    <row r="77" spans="1:28" ht="13.5" customHeight="1">
      <c r="A77" s="21"/>
    </row>
    <row r="78" spans="1:28" ht="13.5" customHeight="1">
      <c r="A78" s="21"/>
    </row>
    <row r="79" spans="1:28" ht="13.5" customHeight="1">
      <c r="A79" s="21"/>
    </row>
    <row r="80" spans="1:28" ht="13.5" customHeight="1">
      <c r="A80" s="21"/>
    </row>
    <row r="81" spans="1:1" ht="13.5" customHeight="1">
      <c r="A81" s="21"/>
    </row>
    <row r="82" spans="1:1" ht="13.5" customHeight="1">
      <c r="A82" s="21"/>
    </row>
    <row r="83" spans="1:1" ht="13.5" customHeight="1">
      <c r="A83" s="21"/>
    </row>
    <row r="84" spans="1:1" ht="13.5" customHeight="1">
      <c r="A84" s="21"/>
    </row>
    <row r="85" spans="1:1" ht="13.5" customHeight="1">
      <c r="A85" s="21"/>
    </row>
    <row r="86" spans="1:1" ht="13.5" customHeight="1">
      <c r="A86" s="21"/>
    </row>
    <row r="87" spans="1:1" ht="13.5" customHeight="1">
      <c r="A87" s="21"/>
    </row>
    <row r="88" spans="1:1" ht="13.5" customHeight="1">
      <c r="A88" s="21"/>
    </row>
    <row r="89" spans="1:1" ht="13.5" customHeight="1">
      <c r="A89" s="21"/>
    </row>
    <row r="90" spans="1:1" ht="13.5" customHeight="1">
      <c r="A90" s="21"/>
    </row>
    <row r="91" spans="1:1" ht="13.5" customHeight="1">
      <c r="A91" s="21"/>
    </row>
    <row r="92" spans="1:1" ht="13.5" customHeight="1">
      <c r="A92" s="21"/>
    </row>
    <row r="93" spans="1:1" ht="13.5" customHeight="1">
      <c r="A93" s="21"/>
    </row>
    <row r="94" spans="1:1" ht="13.5" customHeight="1">
      <c r="A94" s="21"/>
    </row>
    <row r="95" spans="1:1" ht="13.5" customHeight="1">
      <c r="A95" s="21"/>
    </row>
    <row r="96" spans="1:1" ht="13.5" customHeight="1">
      <c r="A96" s="21"/>
    </row>
    <row r="97" spans="1:1" ht="13.5" customHeight="1">
      <c r="A97" s="21"/>
    </row>
    <row r="98" spans="1:1" ht="13.5" customHeight="1">
      <c r="A98" s="21"/>
    </row>
    <row r="99" spans="1:1" ht="13.5" customHeight="1">
      <c r="A99" s="21"/>
    </row>
    <row r="100" spans="1:1" ht="13.5" customHeight="1">
      <c r="A100" s="21"/>
    </row>
    <row r="101" spans="1:1" ht="13.5" customHeight="1">
      <c r="A101" s="21"/>
    </row>
    <row r="102" spans="1:1" ht="13.5" customHeight="1">
      <c r="A102" s="21"/>
    </row>
    <row r="103" spans="1:1" ht="13.5" customHeight="1">
      <c r="A103" s="21"/>
    </row>
    <row r="104" spans="1:1" ht="13.5" customHeight="1">
      <c r="A104" s="21"/>
    </row>
    <row r="105" spans="1:1" ht="13.5" customHeight="1">
      <c r="A105" s="21"/>
    </row>
    <row r="106" spans="1:1" ht="13.5" customHeight="1">
      <c r="A106" s="21"/>
    </row>
    <row r="107" spans="1:1" ht="13.5" customHeight="1">
      <c r="A107" s="21"/>
    </row>
  </sheetData>
  <sheetProtection formatColumns="0" formatRows="0"/>
  <mergeCells count="504">
    <mergeCell ref="V67:V69"/>
    <mergeCell ref="W67:W69"/>
    <mergeCell ref="X67:X69"/>
    <mergeCell ref="Y67:Y69"/>
    <mergeCell ref="E3:Q3"/>
    <mergeCell ref="P67:P69"/>
    <mergeCell ref="Q67:Q69"/>
    <mergeCell ref="R67:R69"/>
    <mergeCell ref="S67:S69"/>
    <mergeCell ref="T67:T69"/>
    <mergeCell ref="U67:U69"/>
    <mergeCell ref="J67:J69"/>
    <mergeCell ref="K67:K69"/>
    <mergeCell ref="L67:L69"/>
    <mergeCell ref="M67:M69"/>
    <mergeCell ref="N67:N69"/>
    <mergeCell ref="O67:O69"/>
    <mergeCell ref="V64:V66"/>
    <mergeCell ref="W64:W66"/>
    <mergeCell ref="X64:X66"/>
    <mergeCell ref="Y64:Y66"/>
    <mergeCell ref="S64:S66"/>
    <mergeCell ref="T64:T66"/>
    <mergeCell ref="U64:U66"/>
    <mergeCell ref="G61:G63"/>
    <mergeCell ref="E67:E69"/>
    <mergeCell ref="F67:F69"/>
    <mergeCell ref="G67:G69"/>
    <mergeCell ref="H67:H69"/>
    <mergeCell ref="I67:I69"/>
    <mergeCell ref="P64:P66"/>
    <mergeCell ref="Q64:Q66"/>
    <mergeCell ref="R64:R66"/>
    <mergeCell ref="J64:J66"/>
    <mergeCell ref="K64:K66"/>
    <mergeCell ref="L64:L66"/>
    <mergeCell ref="M64:M66"/>
    <mergeCell ref="N64:N66"/>
    <mergeCell ref="O64:O66"/>
    <mergeCell ref="H61:H63"/>
    <mergeCell ref="I61:I63"/>
    <mergeCell ref="V61:V63"/>
    <mergeCell ref="W61:W63"/>
    <mergeCell ref="X61:X63"/>
    <mergeCell ref="Y61:Y63"/>
    <mergeCell ref="D64:D66"/>
    <mergeCell ref="E64:E66"/>
    <mergeCell ref="F64:F66"/>
    <mergeCell ref="G64:G66"/>
    <mergeCell ref="H64:H66"/>
    <mergeCell ref="I64:I66"/>
    <mergeCell ref="P61:P63"/>
    <mergeCell ref="Q61:Q63"/>
    <mergeCell ref="R61:R63"/>
    <mergeCell ref="S61:S63"/>
    <mergeCell ref="T61:T63"/>
    <mergeCell ref="U61:U63"/>
    <mergeCell ref="J61:J63"/>
    <mergeCell ref="K61:K63"/>
    <mergeCell ref="L61:L63"/>
    <mergeCell ref="M61:M63"/>
    <mergeCell ref="N61:N63"/>
    <mergeCell ref="O61:O63"/>
    <mergeCell ref="E61:E63"/>
    <mergeCell ref="F61:F63"/>
    <mergeCell ref="Y55:Y57"/>
    <mergeCell ref="D58:D60"/>
    <mergeCell ref="E58:E60"/>
    <mergeCell ref="F58:F60"/>
    <mergeCell ref="G58:G60"/>
    <mergeCell ref="H58:H60"/>
    <mergeCell ref="I58:I60"/>
    <mergeCell ref="P55:P57"/>
    <mergeCell ref="Q55:Q57"/>
    <mergeCell ref="R55:R57"/>
    <mergeCell ref="S55:S57"/>
    <mergeCell ref="T55:T57"/>
    <mergeCell ref="U55:U57"/>
    <mergeCell ref="J55:J57"/>
    <mergeCell ref="K55:K57"/>
    <mergeCell ref="L55:L57"/>
    <mergeCell ref="M55:M57"/>
    <mergeCell ref="V58:V60"/>
    <mergeCell ref="W58:W60"/>
    <mergeCell ref="X58:X60"/>
    <mergeCell ref="Y58:Y60"/>
    <mergeCell ref="T58:T60"/>
    <mergeCell ref="U58:U60"/>
    <mergeCell ref="J58:J60"/>
    <mergeCell ref="K58:K60"/>
    <mergeCell ref="L58:L60"/>
    <mergeCell ref="M58:M60"/>
    <mergeCell ref="N58:N60"/>
    <mergeCell ref="O58:O60"/>
    <mergeCell ref="P58:P60"/>
    <mergeCell ref="Q58:Q60"/>
    <mergeCell ref="R58:R60"/>
    <mergeCell ref="S58:S60"/>
    <mergeCell ref="X55:X57"/>
    <mergeCell ref="E55:E57"/>
    <mergeCell ref="F55:F57"/>
    <mergeCell ref="G55:G57"/>
    <mergeCell ref="H55:H57"/>
    <mergeCell ref="I55:I57"/>
    <mergeCell ref="P52:P54"/>
    <mergeCell ref="Q52:Q54"/>
    <mergeCell ref="R52:R54"/>
    <mergeCell ref="S52:S54"/>
    <mergeCell ref="N55:N57"/>
    <mergeCell ref="O55:O57"/>
    <mergeCell ref="U52:U54"/>
    <mergeCell ref="J52:J54"/>
    <mergeCell ref="K52:K54"/>
    <mergeCell ref="L52:L54"/>
    <mergeCell ref="M52:M54"/>
    <mergeCell ref="N52:N54"/>
    <mergeCell ref="O52:O54"/>
    <mergeCell ref="V55:V57"/>
    <mergeCell ref="W55:W57"/>
    <mergeCell ref="Y49:Y51"/>
    <mergeCell ref="D52:D54"/>
    <mergeCell ref="E52:E54"/>
    <mergeCell ref="F52:F54"/>
    <mergeCell ref="G52:G54"/>
    <mergeCell ref="H52:H54"/>
    <mergeCell ref="I52:I54"/>
    <mergeCell ref="P49:P51"/>
    <mergeCell ref="Q49:Q51"/>
    <mergeCell ref="R49:R51"/>
    <mergeCell ref="S49:S51"/>
    <mergeCell ref="T49:T51"/>
    <mergeCell ref="U49:U51"/>
    <mergeCell ref="J49:J51"/>
    <mergeCell ref="K49:K51"/>
    <mergeCell ref="L49:L51"/>
    <mergeCell ref="M49:M51"/>
    <mergeCell ref="N49:N51"/>
    <mergeCell ref="O49:O51"/>
    <mergeCell ref="V52:V54"/>
    <mergeCell ref="W52:W54"/>
    <mergeCell ref="X52:X54"/>
    <mergeCell ref="Y52:Y54"/>
    <mergeCell ref="T52:T54"/>
    <mergeCell ref="W46:W48"/>
    <mergeCell ref="X46:X48"/>
    <mergeCell ref="Y46:Y48"/>
    <mergeCell ref="D49:D51"/>
    <mergeCell ref="E49:E51"/>
    <mergeCell ref="F49:F51"/>
    <mergeCell ref="G49:G51"/>
    <mergeCell ref="H49:H51"/>
    <mergeCell ref="I49:I51"/>
    <mergeCell ref="P46:P48"/>
    <mergeCell ref="Q46:Q48"/>
    <mergeCell ref="R46:R48"/>
    <mergeCell ref="S46:S48"/>
    <mergeCell ref="T46:T48"/>
    <mergeCell ref="U46:U48"/>
    <mergeCell ref="J46:J48"/>
    <mergeCell ref="K46:K48"/>
    <mergeCell ref="L46:L48"/>
    <mergeCell ref="M46:M48"/>
    <mergeCell ref="N46:N48"/>
    <mergeCell ref="O46:O48"/>
    <mergeCell ref="V49:V51"/>
    <mergeCell ref="W49:W51"/>
    <mergeCell ref="X49:X51"/>
    <mergeCell ref="T43:T45"/>
    <mergeCell ref="U43:U45"/>
    <mergeCell ref="J43:J45"/>
    <mergeCell ref="K43:K45"/>
    <mergeCell ref="L43:L45"/>
    <mergeCell ref="M43:M45"/>
    <mergeCell ref="N43:N45"/>
    <mergeCell ref="O43:O45"/>
    <mergeCell ref="V46:V48"/>
    <mergeCell ref="E46:E48"/>
    <mergeCell ref="F46:F48"/>
    <mergeCell ref="G46:G48"/>
    <mergeCell ref="H46:H48"/>
    <mergeCell ref="I46:I48"/>
    <mergeCell ref="P43:P45"/>
    <mergeCell ref="Q43:Q45"/>
    <mergeCell ref="R43:R45"/>
    <mergeCell ref="S43:S45"/>
    <mergeCell ref="X40:X42"/>
    <mergeCell ref="Y40:Y42"/>
    <mergeCell ref="D43:D45"/>
    <mergeCell ref="E43:E45"/>
    <mergeCell ref="F43:F45"/>
    <mergeCell ref="G43:G45"/>
    <mergeCell ref="H43:H45"/>
    <mergeCell ref="I43:I45"/>
    <mergeCell ref="P40:P42"/>
    <mergeCell ref="Q40:Q42"/>
    <mergeCell ref="R40:R42"/>
    <mergeCell ref="S40:S42"/>
    <mergeCell ref="T40:T42"/>
    <mergeCell ref="U40:U42"/>
    <mergeCell ref="J40:J42"/>
    <mergeCell ref="K40:K42"/>
    <mergeCell ref="L40:L42"/>
    <mergeCell ref="M40:M42"/>
    <mergeCell ref="N40:N42"/>
    <mergeCell ref="O40:O42"/>
    <mergeCell ref="V43:V45"/>
    <mergeCell ref="W43:W45"/>
    <mergeCell ref="X43:X45"/>
    <mergeCell ref="Y43:Y45"/>
    <mergeCell ref="V37:V39"/>
    <mergeCell ref="W37:W39"/>
    <mergeCell ref="X37:X39"/>
    <mergeCell ref="Y37:Y39"/>
    <mergeCell ref="D40:D42"/>
    <mergeCell ref="E40:E42"/>
    <mergeCell ref="F40:F42"/>
    <mergeCell ref="G40:G42"/>
    <mergeCell ref="H40:H42"/>
    <mergeCell ref="I40:I42"/>
    <mergeCell ref="P37:P39"/>
    <mergeCell ref="Q37:Q39"/>
    <mergeCell ref="R37:R39"/>
    <mergeCell ref="S37:S39"/>
    <mergeCell ref="T37:T39"/>
    <mergeCell ref="U37:U39"/>
    <mergeCell ref="J37:J39"/>
    <mergeCell ref="K37:K39"/>
    <mergeCell ref="L37:L39"/>
    <mergeCell ref="M37:M39"/>
    <mergeCell ref="N37:N39"/>
    <mergeCell ref="O37:O39"/>
    <mergeCell ref="V40:V42"/>
    <mergeCell ref="W40:W42"/>
    <mergeCell ref="S34:S36"/>
    <mergeCell ref="T34:T36"/>
    <mergeCell ref="U34:U36"/>
    <mergeCell ref="J34:J36"/>
    <mergeCell ref="K34:K36"/>
    <mergeCell ref="L34:L36"/>
    <mergeCell ref="M34:M36"/>
    <mergeCell ref="N34:N36"/>
    <mergeCell ref="O34:O36"/>
    <mergeCell ref="D37:D39"/>
    <mergeCell ref="E37:E39"/>
    <mergeCell ref="F37:F39"/>
    <mergeCell ref="G37:G39"/>
    <mergeCell ref="H37:H39"/>
    <mergeCell ref="I37:I39"/>
    <mergeCell ref="P34:P36"/>
    <mergeCell ref="Q34:Q36"/>
    <mergeCell ref="R34:R36"/>
    <mergeCell ref="X31:X33"/>
    <mergeCell ref="Y31:Y33"/>
    <mergeCell ref="D34:D36"/>
    <mergeCell ref="E34:E36"/>
    <mergeCell ref="F34:F36"/>
    <mergeCell ref="G34:G36"/>
    <mergeCell ref="H34:H36"/>
    <mergeCell ref="I34:I36"/>
    <mergeCell ref="P31:P33"/>
    <mergeCell ref="Q31:Q33"/>
    <mergeCell ref="R31:R33"/>
    <mergeCell ref="S31:S33"/>
    <mergeCell ref="T31:T33"/>
    <mergeCell ref="U31:U33"/>
    <mergeCell ref="J31:J33"/>
    <mergeCell ref="K31:K33"/>
    <mergeCell ref="L31:L33"/>
    <mergeCell ref="M31:M33"/>
    <mergeCell ref="N31:N33"/>
    <mergeCell ref="O31:O33"/>
    <mergeCell ref="V34:V36"/>
    <mergeCell ref="W34:W36"/>
    <mergeCell ref="X34:X36"/>
    <mergeCell ref="Y34:Y36"/>
    <mergeCell ref="V28:V30"/>
    <mergeCell ref="W28:W30"/>
    <mergeCell ref="X28:X30"/>
    <mergeCell ref="Y28:Y30"/>
    <mergeCell ref="D31:D33"/>
    <mergeCell ref="E31:E33"/>
    <mergeCell ref="F31:F33"/>
    <mergeCell ref="G31:G33"/>
    <mergeCell ref="H31:H33"/>
    <mergeCell ref="I31:I33"/>
    <mergeCell ref="P28:P30"/>
    <mergeCell ref="Q28:Q30"/>
    <mergeCell ref="R28:R30"/>
    <mergeCell ref="S28:S30"/>
    <mergeCell ref="T28:T30"/>
    <mergeCell ref="U28:U30"/>
    <mergeCell ref="J28:J30"/>
    <mergeCell ref="K28:K30"/>
    <mergeCell ref="L28:L30"/>
    <mergeCell ref="M28:M30"/>
    <mergeCell ref="N28:N30"/>
    <mergeCell ref="O28:O30"/>
    <mergeCell ref="V31:V33"/>
    <mergeCell ref="W31:W33"/>
    <mergeCell ref="S25:S27"/>
    <mergeCell ref="T25:T27"/>
    <mergeCell ref="U25:U27"/>
    <mergeCell ref="J25:J27"/>
    <mergeCell ref="K25:K27"/>
    <mergeCell ref="L25:L27"/>
    <mergeCell ref="M25:M27"/>
    <mergeCell ref="N25:N27"/>
    <mergeCell ref="O25:O27"/>
    <mergeCell ref="D28:D30"/>
    <mergeCell ref="E28:E30"/>
    <mergeCell ref="F28:F30"/>
    <mergeCell ref="G28:G30"/>
    <mergeCell ref="H28:H30"/>
    <mergeCell ref="I28:I30"/>
    <mergeCell ref="P25:P27"/>
    <mergeCell ref="Q25:Q27"/>
    <mergeCell ref="R25:R27"/>
    <mergeCell ref="X22:X24"/>
    <mergeCell ref="Y22:Y24"/>
    <mergeCell ref="D25:D27"/>
    <mergeCell ref="E25:E27"/>
    <mergeCell ref="F25:F27"/>
    <mergeCell ref="G25:G27"/>
    <mergeCell ref="H25:H27"/>
    <mergeCell ref="I25:I27"/>
    <mergeCell ref="P22:P24"/>
    <mergeCell ref="Q22:Q24"/>
    <mergeCell ref="R22:R24"/>
    <mergeCell ref="S22:S24"/>
    <mergeCell ref="T22:T24"/>
    <mergeCell ref="U22:U24"/>
    <mergeCell ref="J22:J24"/>
    <mergeCell ref="K22:K24"/>
    <mergeCell ref="L22:L24"/>
    <mergeCell ref="M22:M24"/>
    <mergeCell ref="N22:N24"/>
    <mergeCell ref="O22:O24"/>
    <mergeCell ref="V25:V27"/>
    <mergeCell ref="W25:W27"/>
    <mergeCell ref="X25:X27"/>
    <mergeCell ref="Y25:Y27"/>
    <mergeCell ref="V19:V21"/>
    <mergeCell ref="W19:W21"/>
    <mergeCell ref="X19:X21"/>
    <mergeCell ref="Y19:Y21"/>
    <mergeCell ref="D22:D24"/>
    <mergeCell ref="E22:E24"/>
    <mergeCell ref="F22:F24"/>
    <mergeCell ref="G22:G24"/>
    <mergeCell ref="H22:H24"/>
    <mergeCell ref="I22:I24"/>
    <mergeCell ref="P19:P21"/>
    <mergeCell ref="Q19:Q21"/>
    <mergeCell ref="R19:R21"/>
    <mergeCell ref="S19:S21"/>
    <mergeCell ref="T19:T21"/>
    <mergeCell ref="U19:U21"/>
    <mergeCell ref="J19:J21"/>
    <mergeCell ref="K19:K21"/>
    <mergeCell ref="L19:L21"/>
    <mergeCell ref="M19:M21"/>
    <mergeCell ref="N19:N21"/>
    <mergeCell ref="O19:O21"/>
    <mergeCell ref="V22:V24"/>
    <mergeCell ref="W22:W24"/>
    <mergeCell ref="S16:S18"/>
    <mergeCell ref="T16:T18"/>
    <mergeCell ref="U16:U18"/>
    <mergeCell ref="J16:J18"/>
    <mergeCell ref="K16:K18"/>
    <mergeCell ref="L16:L18"/>
    <mergeCell ref="M16:M18"/>
    <mergeCell ref="N16:N18"/>
    <mergeCell ref="O16:O18"/>
    <mergeCell ref="G19:G21"/>
    <mergeCell ref="H19:H21"/>
    <mergeCell ref="I19:I21"/>
    <mergeCell ref="P16:P18"/>
    <mergeCell ref="Q16:Q18"/>
    <mergeCell ref="R16:R18"/>
    <mergeCell ref="D16:D18"/>
    <mergeCell ref="E16:E18"/>
    <mergeCell ref="F16:F18"/>
    <mergeCell ref="G16:G18"/>
    <mergeCell ref="H16:H18"/>
    <mergeCell ref="I16:I18"/>
    <mergeCell ref="M10:M12"/>
    <mergeCell ref="N10:N12"/>
    <mergeCell ref="O10:O12"/>
    <mergeCell ref="F10:F12"/>
    <mergeCell ref="G10:G12"/>
    <mergeCell ref="H10:H12"/>
    <mergeCell ref="I10:I12"/>
    <mergeCell ref="P13:P15"/>
    <mergeCell ref="Q13:Q15"/>
    <mergeCell ref="J13:J15"/>
    <mergeCell ref="K13:K15"/>
    <mergeCell ref="L13:L15"/>
    <mergeCell ref="M13:M15"/>
    <mergeCell ref="N13:N15"/>
    <mergeCell ref="O13:O15"/>
    <mergeCell ref="V10:V12"/>
    <mergeCell ref="W10:W12"/>
    <mergeCell ref="S10:S12"/>
    <mergeCell ref="T10:T12"/>
    <mergeCell ref="U10:U12"/>
    <mergeCell ref="N74:Y74"/>
    <mergeCell ref="N72:Y72"/>
    <mergeCell ref="I7:I9"/>
    <mergeCell ref="Y7:Y9"/>
    <mergeCell ref="X7:X9"/>
    <mergeCell ref="W7:W9"/>
    <mergeCell ref="V7:V9"/>
    <mergeCell ref="M7:M9"/>
    <mergeCell ref="L7:L9"/>
    <mergeCell ref="K7:K9"/>
    <mergeCell ref="J7:J9"/>
    <mergeCell ref="X10:X12"/>
    <mergeCell ref="Y10:Y12"/>
    <mergeCell ref="V13:V15"/>
    <mergeCell ref="W13:W15"/>
    <mergeCell ref="X13:X15"/>
    <mergeCell ref="I13:I15"/>
    <mergeCell ref="P10:P12"/>
    <mergeCell ref="Q10:Q12"/>
    <mergeCell ref="Y13:Y15"/>
    <mergeCell ref="S13:S15"/>
    <mergeCell ref="T13:T15"/>
    <mergeCell ref="U13:U15"/>
    <mergeCell ref="V16:V18"/>
    <mergeCell ref="W16:W18"/>
    <mergeCell ref="X16:X18"/>
    <mergeCell ref="Y16:Y18"/>
    <mergeCell ref="C58:C60"/>
    <mergeCell ref="C22:C24"/>
    <mergeCell ref="C25:C27"/>
    <mergeCell ref="C28:C30"/>
    <mergeCell ref="C31:C33"/>
    <mergeCell ref="C34:C36"/>
    <mergeCell ref="C37:C39"/>
    <mergeCell ref="D13:D15"/>
    <mergeCell ref="E13:E15"/>
    <mergeCell ref="F13:F15"/>
    <mergeCell ref="G13:G15"/>
    <mergeCell ref="H13:H15"/>
    <mergeCell ref="R13:R15"/>
    <mergeCell ref="D19:D21"/>
    <mergeCell ref="E19:E21"/>
    <mergeCell ref="F19:F21"/>
    <mergeCell ref="C61:C63"/>
    <mergeCell ref="C64:C66"/>
    <mergeCell ref="C67:C69"/>
    <mergeCell ref="B72:D72"/>
    <mergeCell ref="B74:D74"/>
    <mergeCell ref="C40:C42"/>
    <mergeCell ref="C43:C45"/>
    <mergeCell ref="C46:C48"/>
    <mergeCell ref="C49:C51"/>
    <mergeCell ref="C52:C54"/>
    <mergeCell ref="C55:C57"/>
    <mergeCell ref="D46:D48"/>
    <mergeCell ref="D55:D57"/>
    <mergeCell ref="D61:D63"/>
    <mergeCell ref="D67:D69"/>
    <mergeCell ref="C7:C9"/>
    <mergeCell ref="C10:C12"/>
    <mergeCell ref="C13:C15"/>
    <mergeCell ref="C16:C18"/>
    <mergeCell ref="C19:C21"/>
    <mergeCell ref="E7:E9"/>
    <mergeCell ref="D7:D9"/>
    <mergeCell ref="U7:U9"/>
    <mergeCell ref="T7:T9"/>
    <mergeCell ref="S7:S9"/>
    <mergeCell ref="R7:R9"/>
    <mergeCell ref="Q7:Q9"/>
    <mergeCell ref="P7:P9"/>
    <mergeCell ref="O7:O9"/>
    <mergeCell ref="N7:N9"/>
    <mergeCell ref="D10:D12"/>
    <mergeCell ref="E10:E12"/>
    <mergeCell ref="H7:H9"/>
    <mergeCell ref="G7:G9"/>
    <mergeCell ref="F7:F9"/>
    <mergeCell ref="R10:R12"/>
    <mergeCell ref="J10:J12"/>
    <mergeCell ref="K10:K12"/>
    <mergeCell ref="L10:L12"/>
    <mergeCell ref="A1:Y1"/>
    <mergeCell ref="A2:Y2"/>
    <mergeCell ref="A3:D3"/>
    <mergeCell ref="R3:V3"/>
    <mergeCell ref="W3:Y3"/>
    <mergeCell ref="A4:Y4"/>
    <mergeCell ref="A5:A6"/>
    <mergeCell ref="B5:B6"/>
    <mergeCell ref="C5:I5"/>
    <mergeCell ref="J5:P5"/>
    <mergeCell ref="Q5:W5"/>
    <mergeCell ref="X5:X6"/>
    <mergeCell ref="Y5:Y6"/>
    <mergeCell ref="D6:H6"/>
    <mergeCell ref="K6:O6"/>
    <mergeCell ref="R6:V6"/>
  </mergeCells>
  <pageMargins left="0.38" right="0.11" top="0.24" bottom="0.18" header="0.15" footer="0.16"/>
  <pageSetup paperSize="9" orientation="portrait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6"/>
  <dimension ref="A1:Y75"/>
  <sheetViews>
    <sheetView showGridLines="0" workbookViewId="0">
      <selection activeCell="A5" sqref="A5:A6"/>
    </sheetView>
  </sheetViews>
  <sheetFormatPr defaultColWidth="9.1796875" defaultRowHeight="12.5"/>
  <cols>
    <col min="1" max="1" width="1.54296875" style="21" bestFit="1" customWidth="1"/>
    <col min="2" max="2" width="27.54296875" style="21" customWidth="1"/>
    <col min="3" max="3" width="3.7265625" style="21" customWidth="1"/>
    <col min="4" max="9" width="2.81640625" style="21" customWidth="1"/>
    <col min="10" max="10" width="3.7265625" style="21" customWidth="1"/>
    <col min="11" max="16" width="2.81640625" style="21" customWidth="1"/>
    <col min="17" max="17" width="3.7265625" style="21" customWidth="1"/>
    <col min="18" max="23" width="2.81640625" style="21" customWidth="1"/>
    <col min="24" max="24" width="4.1796875" style="21" customWidth="1"/>
    <col min="25" max="25" width="4.54296875" style="21" customWidth="1"/>
    <col min="26" max="16384" width="9.1796875" style="21"/>
  </cols>
  <sheetData>
    <row r="1" spans="1:25">
      <c r="A1" s="655" t="str">
        <f>Регистрация!A1</f>
        <v xml:space="preserve"> Межмуниципальные соревнования по всестилевому каратэ "Первый старт" 27 сентября 2025 г.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2"/>
      <c r="P1" s="672"/>
      <c r="Q1" s="672"/>
      <c r="R1" s="672"/>
      <c r="S1" s="672"/>
      <c r="T1" s="672"/>
      <c r="U1" s="672"/>
      <c r="V1" s="672"/>
      <c r="W1" s="672"/>
      <c r="X1" s="672"/>
      <c r="Y1" s="672"/>
    </row>
    <row r="2" spans="1:25">
      <c r="A2" s="656" t="str">
        <f>Регистрация!A2</f>
        <v>Вид спорта: ВСЕСТИЛЕВОЕ КАРАТЭ (номер-код вида спорта - 0900001411Я)</v>
      </c>
      <c r="B2" s="672"/>
      <c r="C2" s="672"/>
      <c r="D2" s="672"/>
      <c r="E2" s="672"/>
      <c r="F2" s="672"/>
      <c r="G2" s="672"/>
      <c r="H2" s="672"/>
      <c r="I2" s="672"/>
      <c r="J2" s="672"/>
      <c r="K2" s="672"/>
      <c r="L2" s="672"/>
      <c r="M2" s="672"/>
      <c r="N2" s="672"/>
      <c r="O2" s="672"/>
      <c r="P2" s="672"/>
      <c r="Q2" s="672"/>
      <c r="R2" s="672"/>
      <c r="S2" s="672"/>
      <c r="T2" s="672"/>
      <c r="U2" s="672"/>
      <c r="V2" s="672"/>
      <c r="W2" s="672"/>
      <c r="X2" s="672"/>
      <c r="Y2" s="672"/>
    </row>
    <row r="3" spans="1:25">
      <c r="A3" s="673" t="str">
        <f>Регистрация!A3</f>
        <v>Женщины 18 +  ОК-двоеборье</v>
      </c>
      <c r="B3" s="674"/>
      <c r="C3" s="674"/>
      <c r="D3" s="674"/>
      <c r="E3" s="657" t="str">
        <f>Регистрация!G3</f>
        <v>г. Санкт-Петербург</v>
      </c>
      <c r="F3" s="657"/>
      <c r="G3" s="657"/>
      <c r="H3" s="657"/>
      <c r="I3" s="657"/>
      <c r="J3" s="657"/>
      <c r="K3" s="657"/>
      <c r="L3" s="657"/>
      <c r="M3" s="657"/>
      <c r="N3" s="657"/>
      <c r="O3" s="657"/>
      <c r="P3" s="657"/>
      <c r="Q3" s="657"/>
      <c r="R3" s="675" t="str">
        <f>Регистрация!L3</f>
        <v>27 сентября 2025</v>
      </c>
      <c r="S3" s="672"/>
      <c r="T3" s="672"/>
      <c r="U3" s="672"/>
      <c r="V3" s="672"/>
      <c r="W3" s="675">
        <f>Регистрация!N3</f>
        <v>0</v>
      </c>
      <c r="X3" s="672"/>
      <c r="Y3" s="672"/>
    </row>
    <row r="4" spans="1:25" ht="13">
      <c r="A4" s="676" t="s">
        <v>29</v>
      </c>
      <c r="B4" s="677"/>
      <c r="C4" s="677"/>
      <c r="D4" s="677"/>
      <c r="E4" s="677"/>
      <c r="F4" s="677"/>
      <c r="G4" s="677"/>
      <c r="H4" s="677"/>
      <c r="I4" s="677"/>
      <c r="J4" s="677"/>
      <c r="K4" s="677"/>
      <c r="L4" s="677"/>
      <c r="M4" s="677"/>
      <c r="N4" s="677"/>
      <c r="O4" s="677"/>
      <c r="P4" s="677"/>
      <c r="Q4" s="677"/>
      <c r="R4" s="677"/>
      <c r="S4" s="677"/>
      <c r="T4" s="677"/>
      <c r="U4" s="677"/>
      <c r="V4" s="677"/>
      <c r="W4" s="677"/>
      <c r="X4" s="677"/>
      <c r="Y4" s="677"/>
    </row>
    <row r="5" spans="1:25" ht="10.5" customHeight="1">
      <c r="A5" s="678" t="s">
        <v>2</v>
      </c>
      <c r="B5" s="680" t="s">
        <v>42</v>
      </c>
      <c r="C5" s="671" t="s">
        <v>30</v>
      </c>
      <c r="D5" s="681"/>
      <c r="E5" s="681"/>
      <c r="F5" s="681"/>
      <c r="G5" s="681"/>
      <c r="H5" s="681"/>
      <c r="I5" s="682"/>
      <c r="J5" s="671" t="s">
        <v>31</v>
      </c>
      <c r="K5" s="681"/>
      <c r="L5" s="681"/>
      <c r="M5" s="681"/>
      <c r="N5" s="681"/>
      <c r="O5" s="681"/>
      <c r="P5" s="682"/>
      <c r="Q5" s="671" t="s">
        <v>46</v>
      </c>
      <c r="R5" s="681"/>
      <c r="S5" s="681"/>
      <c r="T5" s="681"/>
      <c r="U5" s="681"/>
      <c r="V5" s="681"/>
      <c r="W5" s="682"/>
      <c r="X5" s="683" t="s">
        <v>32</v>
      </c>
      <c r="Y5" s="684" t="s">
        <v>28</v>
      </c>
    </row>
    <row r="6" spans="1:25" ht="12" customHeight="1" thickBot="1">
      <c r="A6" s="679"/>
      <c r="B6" s="679"/>
      <c r="C6" s="372" t="s">
        <v>41</v>
      </c>
      <c r="D6" s="685" t="s">
        <v>33</v>
      </c>
      <c r="E6" s="686"/>
      <c r="F6" s="686"/>
      <c r="G6" s="686"/>
      <c r="H6" s="687"/>
      <c r="I6" s="373" t="s">
        <v>32</v>
      </c>
      <c r="J6" s="372" t="s">
        <v>41</v>
      </c>
      <c r="K6" s="685" t="s">
        <v>33</v>
      </c>
      <c r="L6" s="686"/>
      <c r="M6" s="686"/>
      <c r="N6" s="686"/>
      <c r="O6" s="687"/>
      <c r="P6" s="373" t="s">
        <v>32</v>
      </c>
      <c r="Q6" s="372" t="s">
        <v>41</v>
      </c>
      <c r="R6" s="685" t="s">
        <v>33</v>
      </c>
      <c r="S6" s="686"/>
      <c r="T6" s="686"/>
      <c r="U6" s="686"/>
      <c r="V6" s="687"/>
      <c r="W6" s="374" t="s">
        <v>32</v>
      </c>
      <c r="X6" s="679"/>
      <c r="Y6" s="679"/>
    </row>
    <row r="7" spans="1:25" ht="10.5" customHeight="1" thickTop="1">
      <c r="A7" s="375">
        <v>1</v>
      </c>
      <c r="B7" s="376" t="str">
        <f>CONCATENATE(VLOOKUP(A7,Регистрация!$B$7:$N$71,3,FALSE)," ",VLOOKUP(A7,Регистрация!$B$7:$N$71,4,FALSE)," (",VLOOKUP(A7,Регистрация!$B$7:$N$71,11,FALSE),")")</f>
        <v>Сугралиева Арина (Политех)</v>
      </c>
      <c r="C7" s="697"/>
      <c r="D7" s="694">
        <v>5.9</v>
      </c>
      <c r="E7" s="694">
        <v>5.8</v>
      </c>
      <c r="F7" s="694">
        <v>5.7</v>
      </c>
      <c r="G7" s="694">
        <v>5.8</v>
      </c>
      <c r="H7" s="694">
        <v>5.2</v>
      </c>
      <c r="I7" s="713">
        <f t="shared" ref="I7" si="0">SUM(D7:H7)-MIN(D7:H7)-MAX(D7:H7)</f>
        <v>17.299999999999997</v>
      </c>
      <c r="J7" s="697"/>
      <c r="K7" s="694"/>
      <c r="L7" s="694"/>
      <c r="M7" s="694"/>
      <c r="N7" s="694"/>
      <c r="O7" s="694"/>
      <c r="P7" s="713">
        <f>SUM(K7:O7)-MIN(K7:O7)-MAX(K7:O7)</f>
        <v>0</v>
      </c>
      <c r="Q7" s="697"/>
      <c r="R7" s="694"/>
      <c r="S7" s="694"/>
      <c r="T7" s="694"/>
      <c r="U7" s="694"/>
      <c r="V7" s="694"/>
      <c r="W7" s="713">
        <f t="shared" ref="W7" si="1">SUM(R7:V7)-MIN(R7:V7)-MAX(R7:V7)</f>
        <v>0</v>
      </c>
      <c r="X7" s="708"/>
      <c r="Y7" s="705"/>
    </row>
    <row r="8" spans="1:25" ht="10.5" customHeight="1" thickBot="1">
      <c r="A8" s="386">
        <v>2</v>
      </c>
      <c r="B8" s="387" t="str">
        <f>CONCATENATE(VLOOKUP(A8,Регистрация!$B$7:$N$71,3,FALSE)," ",VLOOKUP(A8,Регистрация!$B$7:$N$71,4,FALSE)," (",VLOOKUP(A8,Регистрация!$B$7:$N$71,11,FALSE),")")</f>
        <v>Хохлова Элина (WSKF)</v>
      </c>
      <c r="C8" s="690"/>
      <c r="D8" s="696"/>
      <c r="E8" s="696"/>
      <c r="F8" s="696"/>
      <c r="G8" s="696"/>
      <c r="H8" s="696"/>
      <c r="I8" s="700"/>
      <c r="J8" s="690"/>
      <c r="K8" s="696"/>
      <c r="L8" s="696"/>
      <c r="M8" s="696"/>
      <c r="N8" s="696"/>
      <c r="O8" s="696"/>
      <c r="P8" s="700"/>
      <c r="Q8" s="690"/>
      <c r="R8" s="696"/>
      <c r="S8" s="696"/>
      <c r="T8" s="696"/>
      <c r="U8" s="696"/>
      <c r="V8" s="696"/>
      <c r="W8" s="700"/>
      <c r="X8" s="693"/>
      <c r="Y8" s="707"/>
    </row>
    <row r="9" spans="1:25" ht="10.5" customHeight="1" thickTop="1">
      <c r="A9" s="375">
        <v>3</v>
      </c>
      <c r="B9" s="376" t="str">
        <f>CONCATENATE(VLOOKUP(A9,Регистрация!$B$7:$N$71,3,FALSE)," ",VLOOKUP(A9,Регистрация!$B$7:$N$71,4,FALSE)," (",VLOOKUP(A9,Регистрация!$B$7:$N$71,11,FALSE),")")</f>
        <v>Паранина Полина (Политех)</v>
      </c>
      <c r="C9" s="697"/>
      <c r="D9" s="694"/>
      <c r="E9" s="694"/>
      <c r="F9" s="694"/>
      <c r="G9" s="694"/>
      <c r="H9" s="694"/>
      <c r="I9" s="713">
        <f t="shared" ref="I9" si="2">SUM(D9:H9)-MIN(D9:H9)-MAX(D9:H9)</f>
        <v>0</v>
      </c>
      <c r="J9" s="697"/>
      <c r="K9" s="694"/>
      <c r="L9" s="694"/>
      <c r="M9" s="694"/>
      <c r="N9" s="694"/>
      <c r="O9" s="694"/>
      <c r="P9" s="713">
        <f t="shared" ref="P9" si="3">SUM(K9:O9)-MIN(K9:O9)-MAX(K9:O9)</f>
        <v>0</v>
      </c>
      <c r="Q9" s="697"/>
      <c r="R9" s="694"/>
      <c r="S9" s="694"/>
      <c r="T9" s="694"/>
      <c r="U9" s="694"/>
      <c r="V9" s="694"/>
      <c r="W9" s="713">
        <f t="shared" ref="W9" si="4">SUM(R9:V9)-MIN(R9:V9)-MAX(R9:V9)</f>
        <v>0</v>
      </c>
      <c r="X9" s="708"/>
      <c r="Y9" s="705"/>
    </row>
    <row r="10" spans="1:25" ht="10.5" customHeight="1" thickBot="1">
      <c r="A10" s="386">
        <v>4</v>
      </c>
      <c r="B10" s="387" t="str">
        <f>CONCATENATE(VLOOKUP(A10,Регистрация!$B$7:$N$71,3,FALSE)," ",VLOOKUP(A10,Регистрация!$B$7:$N$71,4,FALSE)," (",VLOOKUP(A10,Регистрация!$B$7:$N$71,11,FALSE),")")</f>
        <v>Шайдулина Алина (Политех)</v>
      </c>
      <c r="C10" s="690"/>
      <c r="D10" s="696"/>
      <c r="E10" s="696"/>
      <c r="F10" s="696"/>
      <c r="G10" s="696"/>
      <c r="H10" s="696"/>
      <c r="I10" s="700"/>
      <c r="J10" s="690"/>
      <c r="K10" s="696"/>
      <c r="L10" s="696"/>
      <c r="M10" s="696"/>
      <c r="N10" s="696"/>
      <c r="O10" s="696"/>
      <c r="P10" s="700"/>
      <c r="Q10" s="690"/>
      <c r="R10" s="696"/>
      <c r="S10" s="696"/>
      <c r="T10" s="696"/>
      <c r="U10" s="696"/>
      <c r="V10" s="696"/>
      <c r="W10" s="700"/>
      <c r="X10" s="693"/>
      <c r="Y10" s="707"/>
    </row>
    <row r="11" spans="1:25" ht="10.5" customHeight="1" thickTop="1">
      <c r="A11" s="375">
        <v>5</v>
      </c>
      <c r="B11" s="376" t="str">
        <f>CONCATENATE(VLOOKUP(A11,Регистрация!$B$7:$N$71,3,FALSE)," ",VLOOKUP(A11,Регистрация!$B$7:$N$71,4,FALSE)," (",VLOOKUP(A11,Регистрация!$B$7:$N$71,11,FALSE),")")</f>
        <v>Носкова Александра (Политех)</v>
      </c>
      <c r="C11" s="697"/>
      <c r="D11" s="694"/>
      <c r="E11" s="694"/>
      <c r="F11" s="694"/>
      <c r="G11" s="694"/>
      <c r="H11" s="694"/>
      <c r="I11" s="713">
        <f t="shared" ref="I11" si="5">SUM(D11:H11)-MIN(D11:H11)-MAX(D11:H11)</f>
        <v>0</v>
      </c>
      <c r="J11" s="697"/>
      <c r="K11" s="694"/>
      <c r="L11" s="694"/>
      <c r="M11" s="694"/>
      <c r="N11" s="694"/>
      <c r="O11" s="694"/>
      <c r="P11" s="713">
        <f t="shared" ref="P11" si="6">SUM(K11:O11)-MIN(K11:O11)-MAX(K11:O11)</f>
        <v>0</v>
      </c>
      <c r="Q11" s="697"/>
      <c r="R11" s="694"/>
      <c r="S11" s="694"/>
      <c r="T11" s="694"/>
      <c r="U11" s="694"/>
      <c r="V11" s="694"/>
      <c r="W11" s="713">
        <f t="shared" ref="W11" si="7">SUM(R11:V11)-MIN(R11:V11)-MAX(R11:V11)</f>
        <v>0</v>
      </c>
      <c r="X11" s="708"/>
      <c r="Y11" s="705"/>
    </row>
    <row r="12" spans="1:25" ht="10.5" customHeight="1" thickBot="1">
      <c r="A12" s="386">
        <v>6</v>
      </c>
      <c r="B12" s="387" t="str">
        <f>CONCATENATE(VLOOKUP(A12,Регистрация!$B$7:$N$71,3,FALSE)," ",VLOOKUP(A12,Регистрация!$B$7:$N$71,4,FALSE)," (",VLOOKUP(A12,Регистрация!$B$7:$N$71,11,FALSE),")")</f>
        <v>Павлова Мария (Политех)</v>
      </c>
      <c r="C12" s="690"/>
      <c r="D12" s="696"/>
      <c r="E12" s="696"/>
      <c r="F12" s="696"/>
      <c r="G12" s="696"/>
      <c r="H12" s="696"/>
      <c r="I12" s="700"/>
      <c r="J12" s="690"/>
      <c r="K12" s="696"/>
      <c r="L12" s="696"/>
      <c r="M12" s="696"/>
      <c r="N12" s="696"/>
      <c r="O12" s="696"/>
      <c r="P12" s="700"/>
      <c r="Q12" s="690"/>
      <c r="R12" s="696"/>
      <c r="S12" s="696"/>
      <c r="T12" s="696"/>
      <c r="U12" s="696"/>
      <c r="V12" s="696"/>
      <c r="W12" s="700"/>
      <c r="X12" s="693"/>
      <c r="Y12" s="707"/>
    </row>
    <row r="13" spans="1:25" ht="10.5" customHeight="1" thickTop="1">
      <c r="A13" s="375">
        <v>7</v>
      </c>
      <c r="B13" s="376" t="str">
        <f>CONCATENATE(VLOOKUP(A13,Регистрация!$B$7:$N$71,3,FALSE)," ",VLOOKUP(A13,Регистрация!$B$7:$N$71,4,FALSE)," (",VLOOKUP(A13,Регистрация!$B$7:$N$71,11,FALSE),")")</f>
        <v xml:space="preserve">  ()</v>
      </c>
      <c r="C13" s="697"/>
      <c r="D13" s="694"/>
      <c r="E13" s="694"/>
      <c r="F13" s="694"/>
      <c r="G13" s="694"/>
      <c r="H13" s="694"/>
      <c r="I13" s="713">
        <f t="shared" ref="I13" si="8">SUM(D13:H13)-MIN(D13:H13)-MAX(D13:H13)</f>
        <v>0</v>
      </c>
      <c r="J13" s="697"/>
      <c r="K13" s="694"/>
      <c r="L13" s="694"/>
      <c r="M13" s="694"/>
      <c r="N13" s="694"/>
      <c r="O13" s="694"/>
      <c r="P13" s="713">
        <f t="shared" ref="P13" si="9">SUM(K13:O13)-MIN(K13:O13)-MAX(K13:O13)</f>
        <v>0</v>
      </c>
      <c r="Q13" s="697"/>
      <c r="R13" s="694"/>
      <c r="S13" s="694"/>
      <c r="T13" s="694"/>
      <c r="U13" s="694"/>
      <c r="V13" s="694"/>
      <c r="W13" s="713">
        <f t="shared" ref="W13" si="10">SUM(R13:V13)-MIN(R13:V13)-MAX(R13:V13)</f>
        <v>0</v>
      </c>
      <c r="X13" s="708"/>
      <c r="Y13" s="705"/>
    </row>
    <row r="14" spans="1:25" ht="10.5" customHeight="1" thickBot="1">
      <c r="A14" s="386">
        <v>8</v>
      </c>
      <c r="B14" s="387" t="str">
        <f>CONCATENATE(VLOOKUP(A14,Регистрация!$B$7:$N$71,3,FALSE)," ",VLOOKUP(A14,Регистрация!$B$7:$N$71,4,FALSE)," (",VLOOKUP(A14,Регистрация!$B$7:$N$71,11,FALSE),")")</f>
        <v xml:space="preserve">  ()</v>
      </c>
      <c r="C14" s="690"/>
      <c r="D14" s="696"/>
      <c r="E14" s="696"/>
      <c r="F14" s="696"/>
      <c r="G14" s="696"/>
      <c r="H14" s="696"/>
      <c r="I14" s="700"/>
      <c r="J14" s="690"/>
      <c r="K14" s="696"/>
      <c r="L14" s="696"/>
      <c r="M14" s="696"/>
      <c r="N14" s="696"/>
      <c r="O14" s="696"/>
      <c r="P14" s="700"/>
      <c r="Q14" s="690"/>
      <c r="R14" s="696"/>
      <c r="S14" s="696"/>
      <c r="T14" s="696"/>
      <c r="U14" s="696"/>
      <c r="V14" s="696"/>
      <c r="W14" s="700"/>
      <c r="X14" s="693"/>
      <c r="Y14" s="707"/>
    </row>
    <row r="15" spans="1:25" ht="10.5" customHeight="1" thickTop="1">
      <c r="A15" s="375">
        <v>9</v>
      </c>
      <c r="B15" s="376" t="str">
        <f>CONCATENATE(VLOOKUP(A15,Регистрация!$B$7:$N$71,3,FALSE)," ",VLOOKUP(A15,Регистрация!$B$7:$N$71,4,FALSE)," (",VLOOKUP(A15,Регистрация!$B$7:$N$71,11,FALSE),")")</f>
        <v xml:space="preserve">  ()</v>
      </c>
      <c r="C15" s="697"/>
      <c r="D15" s="694"/>
      <c r="E15" s="694"/>
      <c r="F15" s="694"/>
      <c r="G15" s="694"/>
      <c r="H15" s="694"/>
      <c r="I15" s="713">
        <f t="shared" ref="I15" si="11">SUM(D15:H15)-MIN(D15:H15)-MAX(D15:H15)</f>
        <v>0</v>
      </c>
      <c r="J15" s="697"/>
      <c r="K15" s="694"/>
      <c r="L15" s="694"/>
      <c r="M15" s="694"/>
      <c r="N15" s="694"/>
      <c r="O15" s="694"/>
      <c r="P15" s="713">
        <f t="shared" ref="P15" si="12">SUM(K15:O15)-MIN(K15:O15)-MAX(K15:O15)</f>
        <v>0</v>
      </c>
      <c r="Q15" s="697"/>
      <c r="R15" s="694"/>
      <c r="S15" s="694"/>
      <c r="T15" s="694"/>
      <c r="U15" s="694"/>
      <c r="V15" s="694"/>
      <c r="W15" s="713">
        <f t="shared" ref="W15" si="13">SUM(R15:V15)-MIN(R15:V15)-MAX(R15:V15)</f>
        <v>0</v>
      </c>
      <c r="X15" s="708"/>
      <c r="Y15" s="705"/>
    </row>
    <row r="16" spans="1:25" ht="10.5" customHeight="1" thickBot="1">
      <c r="A16" s="386">
        <v>10</v>
      </c>
      <c r="B16" s="387" t="str">
        <f>CONCATENATE(VLOOKUP(A16,Регистрация!$B$7:$N$71,3,FALSE)," ",VLOOKUP(A16,Регистрация!$B$7:$N$71,4,FALSE)," (",VLOOKUP(A16,Регистрация!$B$7:$N$71,11,FALSE),")")</f>
        <v xml:space="preserve">  ()</v>
      </c>
      <c r="C16" s="690"/>
      <c r="D16" s="696"/>
      <c r="E16" s="696"/>
      <c r="F16" s="696"/>
      <c r="G16" s="696"/>
      <c r="H16" s="696"/>
      <c r="I16" s="700"/>
      <c r="J16" s="690"/>
      <c r="K16" s="696"/>
      <c r="L16" s="696"/>
      <c r="M16" s="696"/>
      <c r="N16" s="696"/>
      <c r="O16" s="696"/>
      <c r="P16" s="700"/>
      <c r="Q16" s="690"/>
      <c r="R16" s="696"/>
      <c r="S16" s="696"/>
      <c r="T16" s="696"/>
      <c r="U16" s="696"/>
      <c r="V16" s="696"/>
      <c r="W16" s="700"/>
      <c r="X16" s="693"/>
      <c r="Y16" s="707"/>
    </row>
    <row r="17" spans="1:25" ht="10.5" customHeight="1" thickTop="1">
      <c r="A17" s="375">
        <v>11</v>
      </c>
      <c r="B17" s="376" t="str">
        <f>CONCATENATE(VLOOKUP(A17,Регистрация!$B$7:$N$71,3,FALSE)," ",VLOOKUP(A17,Регистрация!$B$7:$N$71,4,FALSE)," (",VLOOKUP(A17,Регистрация!$B$7:$N$71,11,FALSE),")")</f>
        <v xml:space="preserve">  ()</v>
      </c>
      <c r="C17" s="697"/>
      <c r="D17" s="694"/>
      <c r="E17" s="694"/>
      <c r="F17" s="694"/>
      <c r="G17" s="694"/>
      <c r="H17" s="694"/>
      <c r="I17" s="713">
        <f t="shared" ref="I17" si="14">SUM(D17:H17)-MIN(D17:H17)-MAX(D17:H17)</f>
        <v>0</v>
      </c>
      <c r="J17" s="697"/>
      <c r="K17" s="694"/>
      <c r="L17" s="694"/>
      <c r="M17" s="694"/>
      <c r="N17" s="694"/>
      <c r="O17" s="694"/>
      <c r="P17" s="713">
        <f t="shared" ref="P17" si="15">SUM(K17:O17)-MIN(K17:O17)-MAX(K17:O17)</f>
        <v>0</v>
      </c>
      <c r="Q17" s="697"/>
      <c r="R17" s="694"/>
      <c r="S17" s="694"/>
      <c r="T17" s="694"/>
      <c r="U17" s="694"/>
      <c r="V17" s="694"/>
      <c r="W17" s="713">
        <f t="shared" ref="W17" si="16">SUM(R17:V17)-MIN(R17:V17)-MAX(R17:V17)</f>
        <v>0</v>
      </c>
      <c r="X17" s="708"/>
      <c r="Y17" s="705"/>
    </row>
    <row r="18" spans="1:25" ht="10.5" customHeight="1" thickBot="1">
      <c r="A18" s="386">
        <v>12</v>
      </c>
      <c r="B18" s="387" t="str">
        <f>CONCATENATE(VLOOKUP(A18,Регистрация!$B$7:$N$71,3,FALSE)," ",VLOOKUP(A18,Регистрация!$B$7:$N$71,4,FALSE)," (",VLOOKUP(A18,Регистрация!$B$7:$N$71,11,FALSE),")")</f>
        <v xml:space="preserve">  ()</v>
      </c>
      <c r="C18" s="690"/>
      <c r="D18" s="696"/>
      <c r="E18" s="696"/>
      <c r="F18" s="696"/>
      <c r="G18" s="696"/>
      <c r="H18" s="696"/>
      <c r="I18" s="700"/>
      <c r="J18" s="690"/>
      <c r="K18" s="696"/>
      <c r="L18" s="696"/>
      <c r="M18" s="696"/>
      <c r="N18" s="696"/>
      <c r="O18" s="696"/>
      <c r="P18" s="700"/>
      <c r="Q18" s="690"/>
      <c r="R18" s="696"/>
      <c r="S18" s="696"/>
      <c r="T18" s="696"/>
      <c r="U18" s="696"/>
      <c r="V18" s="696"/>
      <c r="W18" s="700"/>
      <c r="X18" s="693"/>
      <c r="Y18" s="707"/>
    </row>
    <row r="19" spans="1:25" ht="10.5" customHeight="1" thickTop="1">
      <c r="A19" s="375">
        <v>13</v>
      </c>
      <c r="B19" s="376" t="str">
        <f>CONCATENATE(VLOOKUP(A19,Регистрация!$B$7:$N$71,3,FALSE)," ",VLOOKUP(A19,Регистрация!$B$7:$N$71,4,FALSE)," (",VLOOKUP(A19,Регистрация!$B$7:$N$71,11,FALSE),")")</f>
        <v xml:space="preserve">  ()</v>
      </c>
      <c r="C19" s="697"/>
      <c r="D19" s="694"/>
      <c r="E19" s="694"/>
      <c r="F19" s="694"/>
      <c r="G19" s="694"/>
      <c r="H19" s="694"/>
      <c r="I19" s="713">
        <f t="shared" ref="I19" si="17">SUM(D19:H19)-MIN(D19:H19)-MAX(D19:H19)</f>
        <v>0</v>
      </c>
      <c r="J19" s="697"/>
      <c r="K19" s="694"/>
      <c r="L19" s="694"/>
      <c r="M19" s="694"/>
      <c r="N19" s="694"/>
      <c r="O19" s="694"/>
      <c r="P19" s="713">
        <f t="shared" ref="P19" si="18">SUM(K19:O19)-MIN(K19:O19)-MAX(K19:O19)</f>
        <v>0</v>
      </c>
      <c r="Q19" s="697"/>
      <c r="R19" s="694"/>
      <c r="S19" s="694"/>
      <c r="T19" s="694"/>
      <c r="U19" s="694"/>
      <c r="V19" s="694"/>
      <c r="W19" s="713">
        <f t="shared" ref="W19" si="19">SUM(R19:V19)-MIN(R19:V19)-MAX(R19:V19)</f>
        <v>0</v>
      </c>
      <c r="X19" s="708"/>
      <c r="Y19" s="705"/>
    </row>
    <row r="20" spans="1:25" ht="10.5" customHeight="1" thickBot="1">
      <c r="A20" s="386">
        <v>14</v>
      </c>
      <c r="B20" s="387" t="str">
        <f>CONCATENATE(VLOOKUP(A20,Регистрация!$B$7:$N$71,3,FALSE)," ",VLOOKUP(A20,Регистрация!$B$7:$N$71,4,FALSE)," (",VLOOKUP(A20,Регистрация!$B$7:$N$71,11,FALSE),")")</f>
        <v xml:space="preserve">  ()</v>
      </c>
      <c r="C20" s="690"/>
      <c r="D20" s="696"/>
      <c r="E20" s="696"/>
      <c r="F20" s="696"/>
      <c r="G20" s="696"/>
      <c r="H20" s="696"/>
      <c r="I20" s="700"/>
      <c r="J20" s="690"/>
      <c r="K20" s="696"/>
      <c r="L20" s="696"/>
      <c r="M20" s="696"/>
      <c r="N20" s="696"/>
      <c r="O20" s="696"/>
      <c r="P20" s="700"/>
      <c r="Q20" s="690"/>
      <c r="R20" s="696"/>
      <c r="S20" s="696"/>
      <c r="T20" s="696"/>
      <c r="U20" s="696"/>
      <c r="V20" s="696"/>
      <c r="W20" s="700"/>
      <c r="X20" s="693"/>
      <c r="Y20" s="707"/>
    </row>
    <row r="21" spans="1:25" ht="10.5" customHeight="1" thickTop="1">
      <c r="A21" s="375">
        <v>15</v>
      </c>
      <c r="B21" s="376" t="str">
        <f>CONCATENATE(VLOOKUP(A21,Регистрация!$B$7:$N$71,3,FALSE)," ",VLOOKUP(A21,Регистрация!$B$7:$N$71,4,FALSE)," (",VLOOKUP(A21,Регистрация!$B$7:$N$71,11,FALSE),")")</f>
        <v xml:space="preserve">  ()</v>
      </c>
      <c r="C21" s="697"/>
      <c r="D21" s="694"/>
      <c r="E21" s="694"/>
      <c r="F21" s="694"/>
      <c r="G21" s="694"/>
      <c r="H21" s="694"/>
      <c r="I21" s="713">
        <f t="shared" ref="I21" si="20">SUM(D21:H21)-MIN(D21:H21)-MAX(D21:H21)</f>
        <v>0</v>
      </c>
      <c r="J21" s="697"/>
      <c r="K21" s="694"/>
      <c r="L21" s="694"/>
      <c r="M21" s="694"/>
      <c r="N21" s="694"/>
      <c r="O21" s="694"/>
      <c r="P21" s="713">
        <f t="shared" ref="P21" si="21">SUM(K21:O21)-MIN(K21:O21)-MAX(K21:O21)</f>
        <v>0</v>
      </c>
      <c r="Q21" s="697"/>
      <c r="R21" s="694"/>
      <c r="S21" s="694"/>
      <c r="T21" s="694"/>
      <c r="U21" s="694"/>
      <c r="V21" s="694"/>
      <c r="W21" s="713">
        <f t="shared" ref="W21" si="22">SUM(R21:V21)-MIN(R21:V21)-MAX(R21:V21)</f>
        <v>0</v>
      </c>
      <c r="X21" s="708"/>
      <c r="Y21" s="705"/>
    </row>
    <row r="22" spans="1:25" ht="10.5" customHeight="1" thickBot="1">
      <c r="A22" s="386">
        <v>16</v>
      </c>
      <c r="B22" s="387" t="str">
        <f>CONCATENATE(VLOOKUP(A22,Регистрация!$B$7:$N$71,3,FALSE)," ",VLOOKUP(A22,Регистрация!$B$7:$N$71,4,FALSE)," (",VLOOKUP(A22,Регистрация!$B$7:$N$71,11,FALSE),")")</f>
        <v xml:space="preserve">  ()</v>
      </c>
      <c r="C22" s="690"/>
      <c r="D22" s="696"/>
      <c r="E22" s="696"/>
      <c r="F22" s="696"/>
      <c r="G22" s="696"/>
      <c r="H22" s="696"/>
      <c r="I22" s="700"/>
      <c r="J22" s="690"/>
      <c r="K22" s="696"/>
      <c r="L22" s="696"/>
      <c r="M22" s="696"/>
      <c r="N22" s="696"/>
      <c r="O22" s="696"/>
      <c r="P22" s="700"/>
      <c r="Q22" s="690"/>
      <c r="R22" s="696"/>
      <c r="S22" s="696"/>
      <c r="T22" s="696"/>
      <c r="U22" s="696"/>
      <c r="V22" s="696"/>
      <c r="W22" s="700"/>
      <c r="X22" s="693"/>
      <c r="Y22" s="707"/>
    </row>
    <row r="23" spans="1:25" ht="10.5" customHeight="1" thickTop="1">
      <c r="A23" s="375">
        <v>17</v>
      </c>
      <c r="B23" s="376" t="str">
        <f>CONCATENATE(VLOOKUP(A23,Регистрация!$B$7:$N$71,3,FALSE)," ",VLOOKUP(A23,Регистрация!$B$7:$N$71,4,FALSE)," (",VLOOKUP(A23,Регистрация!$B$7:$N$71,11,FALSE),")")</f>
        <v xml:space="preserve">  ()</v>
      </c>
      <c r="C23" s="697"/>
      <c r="D23" s="694"/>
      <c r="E23" s="694"/>
      <c r="F23" s="694"/>
      <c r="G23" s="694"/>
      <c r="H23" s="694"/>
      <c r="I23" s="713">
        <f t="shared" ref="I23" si="23">SUM(D23:H23)-MIN(D23:H23)-MAX(D23:H23)</f>
        <v>0</v>
      </c>
      <c r="J23" s="697"/>
      <c r="K23" s="694"/>
      <c r="L23" s="694"/>
      <c r="M23" s="694"/>
      <c r="N23" s="694"/>
      <c r="O23" s="694"/>
      <c r="P23" s="713">
        <f>SUM(K23:O23)-MIN(K23:O23)-MAX(K23:O23)</f>
        <v>0</v>
      </c>
      <c r="Q23" s="697"/>
      <c r="R23" s="694"/>
      <c r="S23" s="694"/>
      <c r="T23" s="694"/>
      <c r="U23" s="694"/>
      <c r="V23" s="694"/>
      <c r="W23" s="713">
        <f t="shared" ref="W23" si="24">SUM(R23:V23)-MIN(R23:V23)-MAX(R23:V23)</f>
        <v>0</v>
      </c>
      <c r="X23" s="708"/>
      <c r="Y23" s="705"/>
    </row>
    <row r="24" spans="1:25" ht="10.5" customHeight="1" thickBot="1">
      <c r="A24" s="386">
        <v>18</v>
      </c>
      <c r="B24" s="387" t="str">
        <f>CONCATENATE(VLOOKUP(A24,Регистрация!$B$7:$N$71,3,FALSE)," ",VLOOKUP(A24,Регистрация!$B$7:$N$71,4,FALSE)," (",VLOOKUP(A24,Регистрация!$B$7:$N$71,11,FALSE),")")</f>
        <v xml:space="preserve">  ()</v>
      </c>
      <c r="C24" s="690"/>
      <c r="D24" s="696"/>
      <c r="E24" s="696"/>
      <c r="F24" s="696"/>
      <c r="G24" s="696"/>
      <c r="H24" s="696"/>
      <c r="I24" s="700"/>
      <c r="J24" s="690"/>
      <c r="K24" s="696"/>
      <c r="L24" s="696"/>
      <c r="M24" s="696"/>
      <c r="N24" s="696"/>
      <c r="O24" s="696"/>
      <c r="P24" s="700"/>
      <c r="Q24" s="690"/>
      <c r="R24" s="696"/>
      <c r="S24" s="696"/>
      <c r="T24" s="696"/>
      <c r="U24" s="696"/>
      <c r="V24" s="696"/>
      <c r="W24" s="700"/>
      <c r="X24" s="693"/>
      <c r="Y24" s="707"/>
    </row>
    <row r="25" spans="1:25" ht="10.5" customHeight="1" thickTop="1">
      <c r="A25" s="375">
        <v>19</v>
      </c>
      <c r="B25" s="376" t="str">
        <f>CONCATENATE(VLOOKUP(A25,Регистрация!$B$7:$N$71,3,FALSE)," ",VLOOKUP(A25,Регистрация!$B$7:$N$71,4,FALSE)," (",VLOOKUP(A25,Регистрация!$B$7:$N$71,11,FALSE),")")</f>
        <v xml:space="preserve">  ()</v>
      </c>
      <c r="C25" s="697"/>
      <c r="D25" s="694"/>
      <c r="E25" s="694"/>
      <c r="F25" s="694"/>
      <c r="G25" s="694"/>
      <c r="H25" s="694"/>
      <c r="I25" s="713">
        <f t="shared" ref="I25" si="25">SUM(D25:H25)-MIN(D25:H25)-MAX(D25:H25)</f>
        <v>0</v>
      </c>
      <c r="J25" s="697"/>
      <c r="K25" s="694"/>
      <c r="L25" s="694"/>
      <c r="M25" s="694"/>
      <c r="N25" s="694"/>
      <c r="O25" s="694"/>
      <c r="P25" s="713">
        <f t="shared" ref="P25" si="26">SUM(K25:O25)-MIN(K25:O25)-MAX(K25:O25)</f>
        <v>0</v>
      </c>
      <c r="Q25" s="697"/>
      <c r="R25" s="694"/>
      <c r="S25" s="694"/>
      <c r="T25" s="694"/>
      <c r="U25" s="694"/>
      <c r="V25" s="694"/>
      <c r="W25" s="713">
        <f t="shared" ref="W25" si="27">SUM(R25:V25)-MIN(R25:V25)-MAX(R25:V25)</f>
        <v>0</v>
      </c>
      <c r="X25" s="708"/>
      <c r="Y25" s="705"/>
    </row>
    <row r="26" spans="1:25" ht="10.5" customHeight="1" thickBot="1">
      <c r="A26" s="386">
        <v>20</v>
      </c>
      <c r="B26" s="387" t="str">
        <f>CONCATENATE(VLOOKUP(A26,Регистрация!$B$7:$N$71,3,FALSE)," ",VLOOKUP(A26,Регистрация!$B$7:$N$71,4,FALSE)," (",VLOOKUP(A26,Регистрация!$B$7:$N$71,11,FALSE),")")</f>
        <v xml:space="preserve">  ()</v>
      </c>
      <c r="C26" s="690"/>
      <c r="D26" s="696"/>
      <c r="E26" s="696"/>
      <c r="F26" s="696"/>
      <c r="G26" s="696"/>
      <c r="H26" s="696"/>
      <c r="I26" s="700"/>
      <c r="J26" s="690"/>
      <c r="K26" s="696"/>
      <c r="L26" s="696"/>
      <c r="M26" s="696"/>
      <c r="N26" s="696"/>
      <c r="O26" s="696"/>
      <c r="P26" s="700"/>
      <c r="Q26" s="690"/>
      <c r="R26" s="696"/>
      <c r="S26" s="696"/>
      <c r="T26" s="696"/>
      <c r="U26" s="696"/>
      <c r="V26" s="696"/>
      <c r="W26" s="700"/>
      <c r="X26" s="693"/>
      <c r="Y26" s="707"/>
    </row>
    <row r="27" spans="1:25" ht="10.5" customHeight="1" thickTop="1">
      <c r="A27" s="375">
        <v>21</v>
      </c>
      <c r="B27" s="376" t="str">
        <f>CONCATENATE(VLOOKUP(A27,Регистрация!$B$7:$N$71,3,FALSE)," ",VLOOKUP(A27,Регистрация!$B$7:$N$71,4,FALSE)," (",VLOOKUP(A27,Регистрация!$B$7:$N$71,11,FALSE),")")</f>
        <v xml:space="preserve">  ()</v>
      </c>
      <c r="C27" s="697"/>
      <c r="D27" s="694"/>
      <c r="E27" s="694"/>
      <c r="F27" s="694"/>
      <c r="G27" s="694"/>
      <c r="H27" s="694"/>
      <c r="I27" s="713">
        <f t="shared" ref="I27" si="28">SUM(D27:H27)-MIN(D27:H27)-MAX(D27:H27)</f>
        <v>0</v>
      </c>
      <c r="J27" s="697"/>
      <c r="K27" s="694"/>
      <c r="L27" s="694"/>
      <c r="M27" s="694"/>
      <c r="N27" s="694"/>
      <c r="O27" s="694"/>
      <c r="P27" s="713">
        <f t="shared" ref="P27" si="29">SUM(K27:O27)-MIN(K27:O27)-MAX(K27:O27)</f>
        <v>0</v>
      </c>
      <c r="Q27" s="697"/>
      <c r="R27" s="694"/>
      <c r="S27" s="694"/>
      <c r="T27" s="694"/>
      <c r="U27" s="694"/>
      <c r="V27" s="694"/>
      <c r="W27" s="713">
        <f t="shared" ref="W27" si="30">SUM(R27:V27)-MIN(R27:V27)-MAX(R27:V27)</f>
        <v>0</v>
      </c>
      <c r="X27" s="708"/>
      <c r="Y27" s="705"/>
    </row>
    <row r="28" spans="1:25" ht="10.5" customHeight="1" thickBot="1">
      <c r="A28" s="386">
        <v>22</v>
      </c>
      <c r="B28" s="387" t="str">
        <f>CONCATENATE(VLOOKUP(A28,Регистрация!$B$7:$N$71,3,FALSE)," ",VLOOKUP(A28,Регистрация!$B$7:$N$71,4,FALSE)," (",VLOOKUP(A28,Регистрация!$B$7:$N$71,11,FALSE),")")</f>
        <v xml:space="preserve">  ()</v>
      </c>
      <c r="C28" s="690"/>
      <c r="D28" s="696"/>
      <c r="E28" s="696"/>
      <c r="F28" s="696"/>
      <c r="G28" s="696"/>
      <c r="H28" s="696"/>
      <c r="I28" s="700"/>
      <c r="J28" s="690"/>
      <c r="K28" s="696"/>
      <c r="L28" s="696"/>
      <c r="M28" s="696"/>
      <c r="N28" s="696"/>
      <c r="O28" s="696"/>
      <c r="P28" s="700"/>
      <c r="Q28" s="690"/>
      <c r="R28" s="696"/>
      <c r="S28" s="696"/>
      <c r="T28" s="696"/>
      <c r="U28" s="696"/>
      <c r="V28" s="696"/>
      <c r="W28" s="700"/>
      <c r="X28" s="693"/>
      <c r="Y28" s="707"/>
    </row>
    <row r="29" spans="1:25" ht="10.5" customHeight="1" thickTop="1">
      <c r="A29" s="375">
        <v>23</v>
      </c>
      <c r="B29" s="376" t="str">
        <f>CONCATENATE(VLOOKUP(A29,Регистрация!$B$7:$N$71,3,FALSE)," ",VLOOKUP(A29,Регистрация!$B$7:$N$71,4,FALSE)," (",VLOOKUP(A29,Регистрация!$B$7:$N$71,11,FALSE),")")</f>
        <v xml:space="preserve">  ()</v>
      </c>
      <c r="C29" s="697"/>
      <c r="D29" s="694"/>
      <c r="E29" s="694"/>
      <c r="F29" s="694"/>
      <c r="G29" s="694"/>
      <c r="H29" s="694"/>
      <c r="I29" s="713">
        <f t="shared" ref="I29" si="31">SUM(D29:H29)-MIN(D29:H29)-MAX(D29:H29)</f>
        <v>0</v>
      </c>
      <c r="J29" s="697"/>
      <c r="K29" s="694"/>
      <c r="L29" s="694"/>
      <c r="M29" s="694"/>
      <c r="N29" s="694"/>
      <c r="O29" s="694"/>
      <c r="P29" s="713">
        <f t="shared" ref="P29" si="32">SUM(K29:O29)-MIN(K29:O29)-MAX(K29:O29)</f>
        <v>0</v>
      </c>
      <c r="Q29" s="697"/>
      <c r="R29" s="694"/>
      <c r="S29" s="694"/>
      <c r="T29" s="694"/>
      <c r="U29" s="694"/>
      <c r="V29" s="694"/>
      <c r="W29" s="713">
        <f t="shared" ref="W29" si="33">SUM(R29:V29)-MIN(R29:V29)-MAX(R29:V29)</f>
        <v>0</v>
      </c>
      <c r="X29" s="708"/>
      <c r="Y29" s="705"/>
    </row>
    <row r="30" spans="1:25" ht="10.5" customHeight="1" thickBot="1">
      <c r="A30" s="386">
        <v>24</v>
      </c>
      <c r="B30" s="387" t="str">
        <f>CONCATENATE(VLOOKUP(A30,Регистрация!$B$7:$N$71,3,FALSE)," ",VLOOKUP(A30,Регистрация!$B$7:$N$71,4,FALSE)," (",VLOOKUP(A30,Регистрация!$B$7:$N$71,11,FALSE),")")</f>
        <v xml:space="preserve">  ()</v>
      </c>
      <c r="C30" s="690"/>
      <c r="D30" s="696"/>
      <c r="E30" s="696"/>
      <c r="F30" s="696"/>
      <c r="G30" s="696"/>
      <c r="H30" s="696"/>
      <c r="I30" s="700"/>
      <c r="J30" s="690"/>
      <c r="K30" s="696"/>
      <c r="L30" s="696"/>
      <c r="M30" s="696"/>
      <c r="N30" s="696"/>
      <c r="O30" s="696"/>
      <c r="P30" s="700"/>
      <c r="Q30" s="690"/>
      <c r="R30" s="696"/>
      <c r="S30" s="696"/>
      <c r="T30" s="696"/>
      <c r="U30" s="696"/>
      <c r="V30" s="696"/>
      <c r="W30" s="700"/>
      <c r="X30" s="693"/>
      <c r="Y30" s="707"/>
    </row>
    <row r="31" spans="1:25" ht="10.5" customHeight="1" thickTop="1">
      <c r="A31" s="375">
        <v>25</v>
      </c>
      <c r="B31" s="376" t="str">
        <f>CONCATENATE(VLOOKUP(A31,Регистрация!$B$7:$N$71,3,FALSE)," ",VLOOKUP(A31,Регистрация!$B$7:$N$71,4,FALSE)," (",VLOOKUP(A31,Регистрация!$B$7:$N$71,11,FALSE),")")</f>
        <v xml:space="preserve">  ()</v>
      </c>
      <c r="C31" s="697"/>
      <c r="D31" s="694"/>
      <c r="E31" s="694"/>
      <c r="F31" s="694"/>
      <c r="G31" s="694"/>
      <c r="H31" s="694"/>
      <c r="I31" s="713">
        <f t="shared" ref="I31" si="34">SUM(D31:H31)-MIN(D31:H31)-MAX(D31:H31)</f>
        <v>0</v>
      </c>
      <c r="J31" s="697"/>
      <c r="K31" s="694"/>
      <c r="L31" s="694"/>
      <c r="M31" s="694"/>
      <c r="N31" s="694"/>
      <c r="O31" s="694"/>
      <c r="P31" s="713">
        <f t="shared" ref="P31" si="35">SUM(K31:O31)-MIN(K31:O31)-MAX(K31:O31)</f>
        <v>0</v>
      </c>
      <c r="Q31" s="697"/>
      <c r="R31" s="694"/>
      <c r="S31" s="694"/>
      <c r="T31" s="694"/>
      <c r="U31" s="694"/>
      <c r="V31" s="694"/>
      <c r="W31" s="713">
        <f t="shared" ref="W31" si="36">SUM(R31:V31)-MIN(R31:V31)-MAX(R31:V31)</f>
        <v>0</v>
      </c>
      <c r="X31" s="708"/>
      <c r="Y31" s="705"/>
    </row>
    <row r="32" spans="1:25" ht="10.5" customHeight="1" thickBot="1">
      <c r="A32" s="386">
        <v>26</v>
      </c>
      <c r="B32" s="387" t="str">
        <f>CONCATENATE(VLOOKUP(A32,Регистрация!$B$7:$N$71,3,FALSE)," ",VLOOKUP(A32,Регистрация!$B$7:$N$71,4,FALSE)," (",VLOOKUP(A32,Регистрация!$B$7:$N$71,11,FALSE),")")</f>
        <v xml:space="preserve">  ()</v>
      </c>
      <c r="C32" s="690"/>
      <c r="D32" s="696"/>
      <c r="E32" s="696"/>
      <c r="F32" s="696"/>
      <c r="G32" s="696"/>
      <c r="H32" s="696"/>
      <c r="I32" s="700"/>
      <c r="J32" s="690"/>
      <c r="K32" s="696"/>
      <c r="L32" s="696"/>
      <c r="M32" s="696"/>
      <c r="N32" s="696"/>
      <c r="O32" s="696"/>
      <c r="P32" s="700"/>
      <c r="Q32" s="690"/>
      <c r="R32" s="696"/>
      <c r="S32" s="696"/>
      <c r="T32" s="696"/>
      <c r="U32" s="696"/>
      <c r="V32" s="696"/>
      <c r="W32" s="700"/>
      <c r="X32" s="693"/>
      <c r="Y32" s="707"/>
    </row>
    <row r="33" spans="1:25" ht="10.5" customHeight="1" thickTop="1">
      <c r="A33" s="375">
        <v>27</v>
      </c>
      <c r="B33" s="376" t="str">
        <f>CONCATENATE(VLOOKUP(A33,Регистрация!$B$7:$N$71,3,FALSE)," ",VLOOKUP(A33,Регистрация!$B$7:$N$71,4,FALSE)," (",VLOOKUP(A33,Регистрация!$B$7:$N$71,11,FALSE),")")</f>
        <v xml:space="preserve">  ()</v>
      </c>
      <c r="C33" s="697"/>
      <c r="D33" s="694"/>
      <c r="E33" s="694"/>
      <c r="F33" s="694"/>
      <c r="G33" s="694"/>
      <c r="H33" s="694"/>
      <c r="I33" s="713">
        <f t="shared" ref="I33" si="37">SUM(D33:H33)-MIN(D33:H33)-MAX(D33:H33)</f>
        <v>0</v>
      </c>
      <c r="J33" s="697"/>
      <c r="K33" s="694"/>
      <c r="L33" s="694"/>
      <c r="M33" s="694"/>
      <c r="N33" s="694"/>
      <c r="O33" s="694"/>
      <c r="P33" s="713">
        <f t="shared" ref="P33" si="38">SUM(K33:O33)-MIN(K33:O33)-MAX(K33:O33)</f>
        <v>0</v>
      </c>
      <c r="Q33" s="697"/>
      <c r="R33" s="694"/>
      <c r="S33" s="694"/>
      <c r="T33" s="694"/>
      <c r="U33" s="694"/>
      <c r="V33" s="694"/>
      <c r="W33" s="713">
        <f t="shared" ref="W33" si="39">SUM(R33:V33)-MIN(R33:V33)-MAX(R33:V33)</f>
        <v>0</v>
      </c>
      <c r="X33" s="708"/>
      <c r="Y33" s="705"/>
    </row>
    <row r="34" spans="1:25" ht="10.5" customHeight="1" thickBot="1">
      <c r="A34" s="386">
        <v>28</v>
      </c>
      <c r="B34" s="387" t="str">
        <f>CONCATENATE(VLOOKUP(A34,Регистрация!$B$7:$N$71,3,FALSE)," ",VLOOKUP(A34,Регистрация!$B$7:$N$71,4,FALSE)," (",VLOOKUP(A34,Регистрация!$B$7:$N$71,11,FALSE),")")</f>
        <v xml:space="preserve">  ()</v>
      </c>
      <c r="C34" s="690"/>
      <c r="D34" s="696"/>
      <c r="E34" s="696"/>
      <c r="F34" s="696"/>
      <c r="G34" s="696"/>
      <c r="H34" s="696"/>
      <c r="I34" s="700"/>
      <c r="J34" s="690"/>
      <c r="K34" s="696"/>
      <c r="L34" s="696"/>
      <c r="M34" s="696"/>
      <c r="N34" s="696"/>
      <c r="O34" s="696"/>
      <c r="P34" s="700"/>
      <c r="Q34" s="690"/>
      <c r="R34" s="696"/>
      <c r="S34" s="696"/>
      <c r="T34" s="696"/>
      <c r="U34" s="696"/>
      <c r="V34" s="696"/>
      <c r="W34" s="700"/>
      <c r="X34" s="693"/>
      <c r="Y34" s="707"/>
    </row>
    <row r="35" spans="1:25" ht="10.5" customHeight="1" thickTop="1">
      <c r="A35" s="375">
        <v>29</v>
      </c>
      <c r="B35" s="376" t="str">
        <f>CONCATENATE(VLOOKUP(A35,Регистрация!$B$7:$N$71,3,FALSE)," ",VLOOKUP(A35,Регистрация!$B$7:$N$71,4,FALSE)," (",VLOOKUP(A35,Регистрация!$B$7:$N$71,11,FALSE),")")</f>
        <v xml:space="preserve">  ()</v>
      </c>
      <c r="C35" s="697"/>
      <c r="D35" s="694"/>
      <c r="E35" s="694"/>
      <c r="F35" s="694"/>
      <c r="G35" s="694"/>
      <c r="H35" s="694"/>
      <c r="I35" s="713">
        <f t="shared" ref="I35" si="40">SUM(D35:H35)-MIN(D35:H35)-MAX(D35:H35)</f>
        <v>0</v>
      </c>
      <c r="J35" s="697"/>
      <c r="K35" s="694"/>
      <c r="L35" s="694"/>
      <c r="M35" s="694"/>
      <c r="N35" s="694"/>
      <c r="O35" s="694"/>
      <c r="P35" s="713">
        <f t="shared" ref="P35" si="41">SUM(K35:O35)-MIN(K35:O35)-MAX(K35:O35)</f>
        <v>0</v>
      </c>
      <c r="Q35" s="697"/>
      <c r="R35" s="694"/>
      <c r="S35" s="694"/>
      <c r="T35" s="694"/>
      <c r="U35" s="694"/>
      <c r="V35" s="694"/>
      <c r="W35" s="713">
        <f t="shared" ref="W35" si="42">SUM(R35:V35)-MIN(R35:V35)-MAX(R35:V35)</f>
        <v>0</v>
      </c>
      <c r="X35" s="708"/>
      <c r="Y35" s="705"/>
    </row>
    <row r="36" spans="1:25" ht="10.5" customHeight="1" thickBot="1">
      <c r="A36" s="386">
        <v>30</v>
      </c>
      <c r="B36" s="387" t="str">
        <f>CONCATENATE(VLOOKUP(A36,Регистрация!$B$7:$N$71,3,FALSE)," ",VLOOKUP(A36,Регистрация!$B$7:$N$71,4,FALSE)," (",VLOOKUP(A36,Регистрация!$B$7:$N$71,11,FALSE),")")</f>
        <v xml:space="preserve">  ()</v>
      </c>
      <c r="C36" s="690"/>
      <c r="D36" s="696"/>
      <c r="E36" s="696"/>
      <c r="F36" s="696"/>
      <c r="G36" s="696"/>
      <c r="H36" s="696"/>
      <c r="I36" s="700"/>
      <c r="J36" s="690"/>
      <c r="K36" s="696"/>
      <c r="L36" s="696"/>
      <c r="M36" s="696"/>
      <c r="N36" s="696"/>
      <c r="O36" s="696"/>
      <c r="P36" s="700"/>
      <c r="Q36" s="690"/>
      <c r="R36" s="696"/>
      <c r="S36" s="696"/>
      <c r="T36" s="696"/>
      <c r="U36" s="696"/>
      <c r="V36" s="696"/>
      <c r="W36" s="700"/>
      <c r="X36" s="693"/>
      <c r="Y36" s="707"/>
    </row>
    <row r="37" spans="1:25" ht="10.5" customHeight="1" thickTop="1">
      <c r="A37" s="375">
        <v>31</v>
      </c>
      <c r="B37" s="376" t="str">
        <f>CONCATENATE(VLOOKUP(A37,Регистрация!$B$7:$N$71,3,FALSE)," ",VLOOKUP(A37,Регистрация!$B$7:$N$71,4,FALSE)," (",VLOOKUP(A37,Регистрация!$B$7:$N$71,11,FALSE),")")</f>
        <v xml:space="preserve">  ()</v>
      </c>
      <c r="C37" s="697"/>
      <c r="D37" s="694"/>
      <c r="E37" s="694"/>
      <c r="F37" s="694"/>
      <c r="G37" s="694"/>
      <c r="H37" s="694"/>
      <c r="I37" s="713">
        <f t="shared" ref="I37" si="43">SUM(D37:H37)-MIN(D37:H37)-MAX(D37:H37)</f>
        <v>0</v>
      </c>
      <c r="J37" s="697"/>
      <c r="K37" s="694"/>
      <c r="L37" s="694"/>
      <c r="M37" s="694"/>
      <c r="N37" s="694"/>
      <c r="O37" s="694"/>
      <c r="P37" s="713">
        <f t="shared" ref="P37" si="44">SUM(K37:O37)-MIN(K37:O37)-MAX(K37:O37)</f>
        <v>0</v>
      </c>
      <c r="Q37" s="697"/>
      <c r="R37" s="694"/>
      <c r="S37" s="694"/>
      <c r="T37" s="694"/>
      <c r="U37" s="694"/>
      <c r="V37" s="694"/>
      <c r="W37" s="713">
        <f t="shared" ref="W37" si="45">SUM(R37:V37)-MIN(R37:V37)-MAX(R37:V37)</f>
        <v>0</v>
      </c>
      <c r="X37" s="708"/>
      <c r="Y37" s="705"/>
    </row>
    <row r="38" spans="1:25" ht="10.5" customHeight="1" thickBot="1">
      <c r="A38" s="386">
        <v>32</v>
      </c>
      <c r="B38" s="387" t="str">
        <f>CONCATENATE(VLOOKUP(A38,Регистрация!$B$7:$N$71,3,FALSE)," ",VLOOKUP(A38,Регистрация!$B$7:$N$71,4,FALSE)," (",VLOOKUP(A38,Регистрация!$B$7:$N$71,11,FALSE),")")</f>
        <v xml:space="preserve">  ()</v>
      </c>
      <c r="C38" s="690"/>
      <c r="D38" s="696"/>
      <c r="E38" s="696"/>
      <c r="F38" s="696"/>
      <c r="G38" s="696"/>
      <c r="H38" s="696"/>
      <c r="I38" s="700"/>
      <c r="J38" s="690"/>
      <c r="K38" s="696"/>
      <c r="L38" s="696"/>
      <c r="M38" s="696"/>
      <c r="N38" s="696"/>
      <c r="O38" s="696"/>
      <c r="P38" s="700"/>
      <c r="Q38" s="690"/>
      <c r="R38" s="696"/>
      <c r="S38" s="696"/>
      <c r="T38" s="696"/>
      <c r="U38" s="696"/>
      <c r="V38" s="696"/>
      <c r="W38" s="700"/>
      <c r="X38" s="693"/>
      <c r="Y38" s="707"/>
    </row>
    <row r="39" spans="1:25" ht="10.5" customHeight="1" thickTop="1">
      <c r="A39" s="375">
        <v>33</v>
      </c>
      <c r="B39" s="376" t="str">
        <f>CONCATENATE(VLOOKUP(A39,Регистрация!$B$7:$N$71,3,FALSE)," ",VLOOKUP(A39,Регистрация!$B$7:$N$71,4,FALSE)," (",VLOOKUP(A39,Регистрация!$B$7:$N$71,11,FALSE),")")</f>
        <v xml:space="preserve">  ()</v>
      </c>
      <c r="C39" s="697"/>
      <c r="D39" s="694"/>
      <c r="E39" s="694"/>
      <c r="F39" s="694"/>
      <c r="G39" s="694"/>
      <c r="H39" s="694"/>
      <c r="I39" s="713">
        <f t="shared" ref="I39" si="46">SUM(D39:H39)-MIN(D39:H39)-MAX(D39:H39)</f>
        <v>0</v>
      </c>
      <c r="J39" s="697"/>
      <c r="K39" s="694"/>
      <c r="L39" s="694"/>
      <c r="M39" s="694"/>
      <c r="N39" s="694"/>
      <c r="O39" s="694"/>
      <c r="P39" s="713">
        <f>SUM(K39:O39)-MIN(K39:O39)-MAX(K39:O39)</f>
        <v>0</v>
      </c>
      <c r="Q39" s="697"/>
      <c r="R39" s="694"/>
      <c r="S39" s="694"/>
      <c r="T39" s="694"/>
      <c r="U39" s="694"/>
      <c r="V39" s="694"/>
      <c r="W39" s="713">
        <f t="shared" ref="W39" si="47">SUM(R39:V39)-MIN(R39:V39)-MAX(R39:V39)</f>
        <v>0</v>
      </c>
      <c r="X39" s="708"/>
      <c r="Y39" s="705"/>
    </row>
    <row r="40" spans="1:25" ht="10.5" customHeight="1" thickBot="1">
      <c r="A40" s="386">
        <v>34</v>
      </c>
      <c r="B40" s="387" t="str">
        <f>CONCATENATE(VLOOKUP(A40,Регистрация!$B$7:$N$71,3,FALSE)," ",VLOOKUP(A40,Регистрация!$B$7:$N$71,4,FALSE)," (",VLOOKUP(A40,Регистрация!$B$7:$N$71,11,FALSE),")")</f>
        <v xml:space="preserve">  ()</v>
      </c>
      <c r="C40" s="690"/>
      <c r="D40" s="696"/>
      <c r="E40" s="696"/>
      <c r="F40" s="696"/>
      <c r="G40" s="696"/>
      <c r="H40" s="696"/>
      <c r="I40" s="700"/>
      <c r="J40" s="690"/>
      <c r="K40" s="696"/>
      <c r="L40" s="696"/>
      <c r="M40" s="696"/>
      <c r="N40" s="696"/>
      <c r="O40" s="696"/>
      <c r="P40" s="700"/>
      <c r="Q40" s="690"/>
      <c r="R40" s="696"/>
      <c r="S40" s="696"/>
      <c r="T40" s="696"/>
      <c r="U40" s="696"/>
      <c r="V40" s="696"/>
      <c r="W40" s="700"/>
      <c r="X40" s="693"/>
      <c r="Y40" s="707"/>
    </row>
    <row r="41" spans="1:25" ht="10.5" customHeight="1" thickTop="1">
      <c r="A41" s="375">
        <v>35</v>
      </c>
      <c r="B41" s="376" t="str">
        <f>CONCATENATE(VLOOKUP(A41,Регистрация!$B$7:$N$71,3,FALSE)," ",VLOOKUP(A41,Регистрация!$B$7:$N$71,4,FALSE)," (",VLOOKUP(A41,Регистрация!$B$7:$N$71,11,FALSE),")")</f>
        <v xml:space="preserve">  ()</v>
      </c>
      <c r="C41" s="697"/>
      <c r="D41" s="694"/>
      <c r="E41" s="694"/>
      <c r="F41" s="694"/>
      <c r="G41" s="694"/>
      <c r="H41" s="694"/>
      <c r="I41" s="713">
        <f t="shared" ref="I41" si="48">SUM(D41:H41)-MIN(D41:H41)-MAX(D41:H41)</f>
        <v>0</v>
      </c>
      <c r="J41" s="697"/>
      <c r="K41" s="694"/>
      <c r="L41" s="694"/>
      <c r="M41" s="694"/>
      <c r="N41" s="694"/>
      <c r="O41" s="694"/>
      <c r="P41" s="713">
        <f t="shared" ref="P41" si="49">SUM(K41:O41)-MIN(K41:O41)-MAX(K41:O41)</f>
        <v>0</v>
      </c>
      <c r="Q41" s="697"/>
      <c r="R41" s="694"/>
      <c r="S41" s="694"/>
      <c r="T41" s="694"/>
      <c r="U41" s="694"/>
      <c r="V41" s="694"/>
      <c r="W41" s="713">
        <f t="shared" ref="W41" si="50">SUM(R41:V41)-MIN(R41:V41)-MAX(R41:V41)</f>
        <v>0</v>
      </c>
      <c r="X41" s="708"/>
      <c r="Y41" s="705"/>
    </row>
    <row r="42" spans="1:25" ht="10.5" customHeight="1" thickBot="1">
      <c r="A42" s="386">
        <v>36</v>
      </c>
      <c r="B42" s="387" t="str">
        <f>CONCATENATE(VLOOKUP(A42,Регистрация!$B$7:$N$71,3,FALSE)," ",VLOOKUP(A42,Регистрация!$B$7:$N$71,4,FALSE)," (",VLOOKUP(A42,Регистрация!$B$7:$N$71,11,FALSE),")")</f>
        <v xml:space="preserve">  ()</v>
      </c>
      <c r="C42" s="690"/>
      <c r="D42" s="696"/>
      <c r="E42" s="696"/>
      <c r="F42" s="696"/>
      <c r="G42" s="696"/>
      <c r="H42" s="696"/>
      <c r="I42" s="700"/>
      <c r="J42" s="690"/>
      <c r="K42" s="696"/>
      <c r="L42" s="696"/>
      <c r="M42" s="696"/>
      <c r="N42" s="696"/>
      <c r="O42" s="696"/>
      <c r="P42" s="700"/>
      <c r="Q42" s="690"/>
      <c r="R42" s="696"/>
      <c r="S42" s="696"/>
      <c r="T42" s="696"/>
      <c r="U42" s="696"/>
      <c r="V42" s="696"/>
      <c r="W42" s="700"/>
      <c r="X42" s="693"/>
      <c r="Y42" s="707"/>
    </row>
    <row r="43" spans="1:25" ht="10.5" customHeight="1" thickTop="1">
      <c r="A43" s="375">
        <v>37</v>
      </c>
      <c r="B43" s="376" t="str">
        <f>CONCATENATE(VLOOKUP(A43,Регистрация!$B$7:$N$71,3,FALSE)," ",VLOOKUP(A43,Регистрация!$B$7:$N$71,4,FALSE)," (",VLOOKUP(A43,Регистрация!$B$7:$N$71,11,FALSE),")")</f>
        <v xml:space="preserve">  ()</v>
      </c>
      <c r="C43" s="697"/>
      <c r="D43" s="694"/>
      <c r="E43" s="694"/>
      <c r="F43" s="694"/>
      <c r="G43" s="694"/>
      <c r="H43" s="694"/>
      <c r="I43" s="713">
        <f t="shared" ref="I43" si="51">SUM(D43:H43)-MIN(D43:H43)-MAX(D43:H43)</f>
        <v>0</v>
      </c>
      <c r="J43" s="697"/>
      <c r="K43" s="694"/>
      <c r="L43" s="694"/>
      <c r="M43" s="694"/>
      <c r="N43" s="694"/>
      <c r="O43" s="694"/>
      <c r="P43" s="713">
        <f t="shared" ref="P43" si="52">SUM(K43:O43)-MIN(K43:O43)-MAX(K43:O43)</f>
        <v>0</v>
      </c>
      <c r="Q43" s="697"/>
      <c r="R43" s="694"/>
      <c r="S43" s="694"/>
      <c r="T43" s="694"/>
      <c r="U43" s="694"/>
      <c r="V43" s="694"/>
      <c r="W43" s="713">
        <f t="shared" ref="W43" si="53">SUM(R43:V43)-MIN(R43:V43)-MAX(R43:V43)</f>
        <v>0</v>
      </c>
      <c r="X43" s="708"/>
      <c r="Y43" s="705"/>
    </row>
    <row r="44" spans="1:25" ht="10.5" customHeight="1" thickBot="1">
      <c r="A44" s="386">
        <v>38</v>
      </c>
      <c r="B44" s="387" t="str">
        <f>CONCATENATE(VLOOKUP(A44,Регистрация!$B$7:$N$71,3,FALSE)," ",VLOOKUP(A44,Регистрация!$B$7:$N$71,4,FALSE)," (",VLOOKUP(A44,Регистрация!$B$7:$N$71,11,FALSE),")")</f>
        <v xml:space="preserve">  ()</v>
      </c>
      <c r="C44" s="690"/>
      <c r="D44" s="696"/>
      <c r="E44" s="696"/>
      <c r="F44" s="696"/>
      <c r="G44" s="696"/>
      <c r="H44" s="696"/>
      <c r="I44" s="700"/>
      <c r="J44" s="690"/>
      <c r="K44" s="696"/>
      <c r="L44" s="696"/>
      <c r="M44" s="696"/>
      <c r="N44" s="696"/>
      <c r="O44" s="696"/>
      <c r="P44" s="700"/>
      <c r="Q44" s="690"/>
      <c r="R44" s="696"/>
      <c r="S44" s="696"/>
      <c r="T44" s="696"/>
      <c r="U44" s="696"/>
      <c r="V44" s="696"/>
      <c r="W44" s="700"/>
      <c r="X44" s="693"/>
      <c r="Y44" s="707"/>
    </row>
    <row r="45" spans="1:25" ht="10.5" customHeight="1" thickTop="1">
      <c r="A45" s="375">
        <v>39</v>
      </c>
      <c r="B45" s="376" t="str">
        <f>CONCATENATE(VLOOKUP(A45,Регистрация!$B$7:$N$71,3,FALSE)," ",VLOOKUP(A45,Регистрация!$B$7:$N$71,4,FALSE)," (",VLOOKUP(A45,Регистрация!$B$7:$N$71,11,FALSE),")")</f>
        <v xml:space="preserve">  ()</v>
      </c>
      <c r="C45" s="697"/>
      <c r="D45" s="694"/>
      <c r="E45" s="694"/>
      <c r="F45" s="694"/>
      <c r="G45" s="694"/>
      <c r="H45" s="694"/>
      <c r="I45" s="713">
        <f t="shared" ref="I45" si="54">SUM(D45:H45)-MIN(D45:H45)-MAX(D45:H45)</f>
        <v>0</v>
      </c>
      <c r="J45" s="697"/>
      <c r="K45" s="694"/>
      <c r="L45" s="694"/>
      <c r="M45" s="694"/>
      <c r="N45" s="694"/>
      <c r="O45" s="694"/>
      <c r="P45" s="713">
        <f t="shared" ref="P45" si="55">SUM(K45:O45)-MIN(K45:O45)-MAX(K45:O45)</f>
        <v>0</v>
      </c>
      <c r="Q45" s="697"/>
      <c r="R45" s="694"/>
      <c r="S45" s="694"/>
      <c r="T45" s="694"/>
      <c r="U45" s="694"/>
      <c r="V45" s="694"/>
      <c r="W45" s="713">
        <f t="shared" ref="W45" si="56">SUM(R45:V45)-MIN(R45:V45)-MAX(R45:V45)</f>
        <v>0</v>
      </c>
      <c r="X45" s="708"/>
      <c r="Y45" s="705"/>
    </row>
    <row r="46" spans="1:25" ht="10.5" customHeight="1" thickBot="1">
      <c r="A46" s="386">
        <v>40</v>
      </c>
      <c r="B46" s="387" t="str">
        <f>CONCATENATE(VLOOKUP(A46,Регистрация!$B$7:$N$71,3,FALSE)," ",VLOOKUP(A46,Регистрация!$B$7:$N$71,4,FALSE)," (",VLOOKUP(A46,Регистрация!$B$7:$N$71,11,FALSE),")")</f>
        <v xml:space="preserve">  ()</v>
      </c>
      <c r="C46" s="690"/>
      <c r="D46" s="696"/>
      <c r="E46" s="696"/>
      <c r="F46" s="696"/>
      <c r="G46" s="696"/>
      <c r="H46" s="696"/>
      <c r="I46" s="700"/>
      <c r="J46" s="690"/>
      <c r="K46" s="696"/>
      <c r="L46" s="696"/>
      <c r="M46" s="696"/>
      <c r="N46" s="696"/>
      <c r="O46" s="696"/>
      <c r="P46" s="700"/>
      <c r="Q46" s="690"/>
      <c r="R46" s="696"/>
      <c r="S46" s="696"/>
      <c r="T46" s="696"/>
      <c r="U46" s="696"/>
      <c r="V46" s="696"/>
      <c r="W46" s="700"/>
      <c r="X46" s="693"/>
      <c r="Y46" s="707"/>
    </row>
    <row r="47" spans="1:25" ht="10.5" customHeight="1" thickTop="1">
      <c r="A47" s="375">
        <v>41</v>
      </c>
      <c r="B47" s="376" t="str">
        <f>CONCATENATE(VLOOKUP(A47,Регистрация!$B$7:$N$71,3,FALSE)," ",VLOOKUP(A47,Регистрация!$B$7:$N$71,4,FALSE)," (",VLOOKUP(A47,Регистрация!$B$7:$N$71,11,FALSE),")")</f>
        <v xml:space="preserve">  ()</v>
      </c>
      <c r="C47" s="697"/>
      <c r="D47" s="694"/>
      <c r="E47" s="694"/>
      <c r="F47" s="694"/>
      <c r="G47" s="694"/>
      <c r="H47" s="694"/>
      <c r="I47" s="713">
        <f t="shared" ref="I47" si="57">SUM(D47:H47)-MIN(D47:H47)-MAX(D47:H47)</f>
        <v>0</v>
      </c>
      <c r="J47" s="697"/>
      <c r="K47" s="694"/>
      <c r="L47" s="694"/>
      <c r="M47" s="694"/>
      <c r="N47" s="694"/>
      <c r="O47" s="694"/>
      <c r="P47" s="713">
        <f t="shared" ref="P47" si="58">SUM(K47:O47)-MIN(K47:O47)-MAX(K47:O47)</f>
        <v>0</v>
      </c>
      <c r="Q47" s="697"/>
      <c r="R47" s="694"/>
      <c r="S47" s="694"/>
      <c r="T47" s="694"/>
      <c r="U47" s="694"/>
      <c r="V47" s="694"/>
      <c r="W47" s="713">
        <f t="shared" ref="W47" si="59">SUM(R47:V47)-MIN(R47:V47)-MAX(R47:V47)</f>
        <v>0</v>
      </c>
      <c r="X47" s="708"/>
      <c r="Y47" s="705"/>
    </row>
    <row r="48" spans="1:25" ht="10.5" customHeight="1" thickBot="1">
      <c r="A48" s="386">
        <v>42</v>
      </c>
      <c r="B48" s="387" t="str">
        <f>CONCATENATE(VLOOKUP(A48,Регистрация!$B$7:$N$71,3,FALSE)," ",VLOOKUP(A48,Регистрация!$B$7:$N$71,4,FALSE)," (",VLOOKUP(A48,Регистрация!$B$7:$N$71,11,FALSE),")")</f>
        <v xml:space="preserve">  ()</v>
      </c>
      <c r="C48" s="690"/>
      <c r="D48" s="696"/>
      <c r="E48" s="696"/>
      <c r="F48" s="696"/>
      <c r="G48" s="696"/>
      <c r="H48" s="696"/>
      <c r="I48" s="700"/>
      <c r="J48" s="690"/>
      <c r="K48" s="696"/>
      <c r="L48" s="696"/>
      <c r="M48" s="696"/>
      <c r="N48" s="696"/>
      <c r="O48" s="696"/>
      <c r="P48" s="700"/>
      <c r="Q48" s="690"/>
      <c r="R48" s="696"/>
      <c r="S48" s="696"/>
      <c r="T48" s="696"/>
      <c r="U48" s="696"/>
      <c r="V48" s="696"/>
      <c r="W48" s="700"/>
      <c r="X48" s="693"/>
      <c r="Y48" s="707"/>
    </row>
    <row r="49" spans="1:25" ht="10.5" customHeight="1" thickTop="1">
      <c r="A49" s="375">
        <v>43</v>
      </c>
      <c r="B49" s="376" t="str">
        <f>CONCATENATE(VLOOKUP(A49,Регистрация!$B$7:$N$71,3,FALSE)," ",VLOOKUP(A49,Регистрация!$B$7:$N$71,4,FALSE)," (",VLOOKUP(A49,Регистрация!$B$7:$N$71,11,FALSE),")")</f>
        <v xml:space="preserve">  ()</v>
      </c>
      <c r="C49" s="697"/>
      <c r="D49" s="694"/>
      <c r="E49" s="694"/>
      <c r="F49" s="694"/>
      <c r="G49" s="694"/>
      <c r="H49" s="694"/>
      <c r="I49" s="713">
        <f t="shared" ref="I49" si="60">SUM(D49:H49)-MIN(D49:H49)-MAX(D49:H49)</f>
        <v>0</v>
      </c>
      <c r="J49" s="697"/>
      <c r="K49" s="694"/>
      <c r="L49" s="694"/>
      <c r="M49" s="694"/>
      <c r="N49" s="694"/>
      <c r="O49" s="694"/>
      <c r="P49" s="713">
        <f t="shared" ref="P49" si="61">SUM(K49:O49)-MIN(K49:O49)-MAX(K49:O49)</f>
        <v>0</v>
      </c>
      <c r="Q49" s="697"/>
      <c r="R49" s="694"/>
      <c r="S49" s="694"/>
      <c r="T49" s="694"/>
      <c r="U49" s="694"/>
      <c r="V49" s="694"/>
      <c r="W49" s="713">
        <f t="shared" ref="W49" si="62">SUM(R49:V49)-MIN(R49:V49)-MAX(R49:V49)</f>
        <v>0</v>
      </c>
      <c r="X49" s="708"/>
      <c r="Y49" s="705"/>
    </row>
    <row r="50" spans="1:25" ht="10.5" customHeight="1" thickBot="1">
      <c r="A50" s="386">
        <v>44</v>
      </c>
      <c r="B50" s="387" t="str">
        <f>CONCATENATE(VLOOKUP(A50,Регистрация!$B$7:$N$71,3,FALSE)," ",VLOOKUP(A50,Регистрация!$B$7:$N$71,4,FALSE)," (",VLOOKUP(A50,Регистрация!$B$7:$N$71,11,FALSE),")")</f>
        <v xml:space="preserve">  ()</v>
      </c>
      <c r="C50" s="690"/>
      <c r="D50" s="696"/>
      <c r="E50" s="696"/>
      <c r="F50" s="696"/>
      <c r="G50" s="696"/>
      <c r="H50" s="696"/>
      <c r="I50" s="700"/>
      <c r="J50" s="690"/>
      <c r="K50" s="696"/>
      <c r="L50" s="696"/>
      <c r="M50" s="696"/>
      <c r="N50" s="696"/>
      <c r="O50" s="696"/>
      <c r="P50" s="700"/>
      <c r="Q50" s="690"/>
      <c r="R50" s="696"/>
      <c r="S50" s="696"/>
      <c r="T50" s="696"/>
      <c r="U50" s="696"/>
      <c r="V50" s="696"/>
      <c r="W50" s="700"/>
      <c r="X50" s="693"/>
      <c r="Y50" s="707"/>
    </row>
    <row r="51" spans="1:25" ht="10.5" customHeight="1" thickTop="1">
      <c r="A51" s="375">
        <v>45</v>
      </c>
      <c r="B51" s="376" t="str">
        <f>CONCATENATE(VLOOKUP(A51,Регистрация!$B$7:$N$71,3,FALSE)," ",VLOOKUP(A51,Регистрация!$B$7:$N$71,4,FALSE)," (",VLOOKUP(A51,Регистрация!$B$7:$N$71,11,FALSE),")")</f>
        <v xml:space="preserve">  ()</v>
      </c>
      <c r="C51" s="697"/>
      <c r="D51" s="694"/>
      <c r="E51" s="694"/>
      <c r="F51" s="694"/>
      <c r="G51" s="694"/>
      <c r="H51" s="694"/>
      <c r="I51" s="713">
        <f t="shared" ref="I51" si="63">SUM(D51:H51)-MIN(D51:H51)-MAX(D51:H51)</f>
        <v>0</v>
      </c>
      <c r="J51" s="697"/>
      <c r="K51" s="694"/>
      <c r="L51" s="694"/>
      <c r="M51" s="694"/>
      <c r="N51" s="694"/>
      <c r="O51" s="694"/>
      <c r="P51" s="713">
        <f t="shared" ref="P51" si="64">SUM(K51:O51)-MIN(K51:O51)-MAX(K51:O51)</f>
        <v>0</v>
      </c>
      <c r="Q51" s="697"/>
      <c r="R51" s="694"/>
      <c r="S51" s="694"/>
      <c r="T51" s="694"/>
      <c r="U51" s="694"/>
      <c r="V51" s="694"/>
      <c r="W51" s="713">
        <f t="shared" ref="W51" si="65">SUM(R51:V51)-MIN(R51:V51)-MAX(R51:V51)</f>
        <v>0</v>
      </c>
      <c r="X51" s="708"/>
      <c r="Y51" s="705"/>
    </row>
    <row r="52" spans="1:25" ht="10.5" customHeight="1" thickBot="1">
      <c r="A52" s="386">
        <v>46</v>
      </c>
      <c r="B52" s="387" t="str">
        <f>CONCATENATE(VLOOKUP(A52,Регистрация!$B$7:$N$71,3,FALSE)," ",VLOOKUP(A52,Регистрация!$B$7:$N$71,4,FALSE)," (",VLOOKUP(A52,Регистрация!$B$7:$N$71,11,FALSE),")")</f>
        <v xml:space="preserve">  ()</v>
      </c>
      <c r="C52" s="690"/>
      <c r="D52" s="696"/>
      <c r="E52" s="696"/>
      <c r="F52" s="696"/>
      <c r="G52" s="696"/>
      <c r="H52" s="696"/>
      <c r="I52" s="700"/>
      <c r="J52" s="690"/>
      <c r="K52" s="696"/>
      <c r="L52" s="696"/>
      <c r="M52" s="696"/>
      <c r="N52" s="696"/>
      <c r="O52" s="696"/>
      <c r="P52" s="700"/>
      <c r="Q52" s="690"/>
      <c r="R52" s="696"/>
      <c r="S52" s="696"/>
      <c r="T52" s="696"/>
      <c r="U52" s="696"/>
      <c r="V52" s="696"/>
      <c r="W52" s="700"/>
      <c r="X52" s="693"/>
      <c r="Y52" s="707"/>
    </row>
    <row r="53" spans="1:25" ht="10.5" customHeight="1" thickTop="1">
      <c r="A53" s="375">
        <v>47</v>
      </c>
      <c r="B53" s="376" t="str">
        <f>CONCATENATE(VLOOKUP(A53,Регистрация!$B$7:$N$71,3,FALSE)," ",VLOOKUP(A53,Регистрация!$B$7:$N$71,4,FALSE)," (",VLOOKUP(A53,Регистрация!$B$7:$N$71,11,FALSE),")")</f>
        <v xml:space="preserve">  ()</v>
      </c>
      <c r="C53" s="697"/>
      <c r="D53" s="694"/>
      <c r="E53" s="694"/>
      <c r="F53" s="694"/>
      <c r="G53" s="694"/>
      <c r="H53" s="694"/>
      <c r="I53" s="713">
        <f t="shared" ref="I53" si="66">SUM(D53:H53)-MIN(D53:H53)-MAX(D53:H53)</f>
        <v>0</v>
      </c>
      <c r="J53" s="697"/>
      <c r="K53" s="694"/>
      <c r="L53" s="694"/>
      <c r="M53" s="694"/>
      <c r="N53" s="694"/>
      <c r="O53" s="694"/>
      <c r="P53" s="713">
        <f t="shared" ref="P53" si="67">SUM(K53:O53)-MIN(K53:O53)-MAX(K53:O53)</f>
        <v>0</v>
      </c>
      <c r="Q53" s="697"/>
      <c r="R53" s="694"/>
      <c r="S53" s="694"/>
      <c r="T53" s="694"/>
      <c r="U53" s="694"/>
      <c r="V53" s="694"/>
      <c r="W53" s="713">
        <f t="shared" ref="W53" si="68">SUM(R53:V53)-MIN(R53:V53)-MAX(R53:V53)</f>
        <v>0</v>
      </c>
      <c r="X53" s="708"/>
      <c r="Y53" s="705"/>
    </row>
    <row r="54" spans="1:25" ht="10.5" customHeight="1" thickBot="1">
      <c r="A54" s="386">
        <v>48</v>
      </c>
      <c r="B54" s="387" t="str">
        <f>CONCATENATE(VLOOKUP(A54,Регистрация!$B$7:$N$71,3,FALSE)," ",VLOOKUP(A54,Регистрация!$B$7:$N$71,4,FALSE)," (",VLOOKUP(A54,Регистрация!$B$7:$N$71,11,FALSE),")")</f>
        <v xml:space="preserve">  ()</v>
      </c>
      <c r="C54" s="690"/>
      <c r="D54" s="696"/>
      <c r="E54" s="696"/>
      <c r="F54" s="696"/>
      <c r="G54" s="696"/>
      <c r="H54" s="696"/>
      <c r="I54" s="700"/>
      <c r="J54" s="690"/>
      <c r="K54" s="696"/>
      <c r="L54" s="696"/>
      <c r="M54" s="696"/>
      <c r="N54" s="696"/>
      <c r="O54" s="696"/>
      <c r="P54" s="700"/>
      <c r="Q54" s="690"/>
      <c r="R54" s="696"/>
      <c r="S54" s="696"/>
      <c r="T54" s="696"/>
      <c r="U54" s="696"/>
      <c r="V54" s="696"/>
      <c r="W54" s="700"/>
      <c r="X54" s="693"/>
      <c r="Y54" s="707"/>
    </row>
    <row r="55" spans="1:25" ht="10.5" customHeight="1" thickTop="1">
      <c r="A55" s="375">
        <v>49</v>
      </c>
      <c r="B55" s="376" t="str">
        <f>CONCATENATE(VLOOKUP(A55,Регистрация!$B$7:$N$71,3,FALSE)," ",VLOOKUP(A55,Регистрация!$B$7:$N$71,4,FALSE)," (",VLOOKUP(A55,Регистрация!$B$7:$N$71,11,FALSE),")")</f>
        <v xml:space="preserve">  ()</v>
      </c>
      <c r="C55" s="697"/>
      <c r="D55" s="694"/>
      <c r="E55" s="694"/>
      <c r="F55" s="694"/>
      <c r="G55" s="694"/>
      <c r="H55" s="694"/>
      <c r="I55" s="713">
        <f t="shared" ref="I55" si="69">SUM(D55:H55)-MIN(D55:H55)-MAX(D55:H55)</f>
        <v>0</v>
      </c>
      <c r="J55" s="697"/>
      <c r="K55" s="694"/>
      <c r="L55" s="694"/>
      <c r="M55" s="694"/>
      <c r="N55" s="694"/>
      <c r="O55" s="694"/>
      <c r="P55" s="713">
        <f>SUM(K55:O55)-MIN(K55:O55)-MAX(K55:O55)</f>
        <v>0</v>
      </c>
      <c r="Q55" s="697"/>
      <c r="R55" s="694"/>
      <c r="S55" s="694"/>
      <c r="T55" s="694"/>
      <c r="U55" s="694"/>
      <c r="V55" s="694"/>
      <c r="W55" s="713">
        <f t="shared" ref="W55" si="70">SUM(R55:V55)-MIN(R55:V55)-MAX(R55:V55)</f>
        <v>0</v>
      </c>
      <c r="X55" s="708"/>
      <c r="Y55" s="705"/>
    </row>
    <row r="56" spans="1:25" ht="10.5" customHeight="1" thickBot="1">
      <c r="A56" s="386">
        <v>50</v>
      </c>
      <c r="B56" s="387" t="str">
        <f>CONCATENATE(VLOOKUP(A56,Регистрация!$B$7:$N$71,3,FALSE)," ",VLOOKUP(A56,Регистрация!$B$7:$N$71,4,FALSE)," (",VLOOKUP(A56,Регистрация!$B$7:$N$71,11,FALSE),")")</f>
        <v xml:space="preserve">  ()</v>
      </c>
      <c r="C56" s="690"/>
      <c r="D56" s="696"/>
      <c r="E56" s="696"/>
      <c r="F56" s="696"/>
      <c r="G56" s="696"/>
      <c r="H56" s="696"/>
      <c r="I56" s="700"/>
      <c r="J56" s="690"/>
      <c r="K56" s="696"/>
      <c r="L56" s="696"/>
      <c r="M56" s="696"/>
      <c r="N56" s="696"/>
      <c r="O56" s="696"/>
      <c r="P56" s="700"/>
      <c r="Q56" s="690"/>
      <c r="R56" s="696"/>
      <c r="S56" s="696"/>
      <c r="T56" s="696"/>
      <c r="U56" s="696"/>
      <c r="V56" s="696"/>
      <c r="W56" s="700"/>
      <c r="X56" s="693"/>
      <c r="Y56" s="707"/>
    </row>
    <row r="57" spans="1:25" ht="10.5" customHeight="1" thickTop="1">
      <c r="A57" s="375">
        <v>51</v>
      </c>
      <c r="B57" s="376" t="str">
        <f>CONCATENATE(VLOOKUP(A57,Регистрация!$B$7:$N$71,3,FALSE)," ",VLOOKUP(A57,Регистрация!$B$7:$N$71,4,FALSE)," (",VLOOKUP(A57,Регистрация!$B$7:$N$71,11,FALSE),")")</f>
        <v xml:space="preserve">  ()</v>
      </c>
      <c r="C57" s="697"/>
      <c r="D57" s="694"/>
      <c r="E57" s="694"/>
      <c r="F57" s="694"/>
      <c r="G57" s="694"/>
      <c r="H57" s="694"/>
      <c r="I57" s="713">
        <f t="shared" ref="I57" si="71">SUM(D57:H57)-MIN(D57:H57)-MAX(D57:H57)</f>
        <v>0</v>
      </c>
      <c r="J57" s="697"/>
      <c r="K57" s="694"/>
      <c r="L57" s="694"/>
      <c r="M57" s="694"/>
      <c r="N57" s="694"/>
      <c r="O57" s="694"/>
      <c r="P57" s="713">
        <f t="shared" ref="P57" si="72">SUM(K57:O57)-MIN(K57:O57)-MAX(K57:O57)</f>
        <v>0</v>
      </c>
      <c r="Q57" s="697"/>
      <c r="R57" s="694"/>
      <c r="S57" s="694"/>
      <c r="T57" s="694"/>
      <c r="U57" s="694"/>
      <c r="V57" s="694"/>
      <c r="W57" s="713">
        <f t="shared" ref="W57" si="73">SUM(R57:V57)-MIN(R57:V57)-MAX(R57:V57)</f>
        <v>0</v>
      </c>
      <c r="X57" s="708"/>
      <c r="Y57" s="705"/>
    </row>
    <row r="58" spans="1:25" ht="10.5" customHeight="1" thickBot="1">
      <c r="A58" s="386">
        <v>52</v>
      </c>
      <c r="B58" s="387" t="str">
        <f>CONCATENATE(VLOOKUP(A58,Регистрация!$B$7:$N$71,3,FALSE)," ",VLOOKUP(A58,Регистрация!$B$7:$N$71,4,FALSE)," (",VLOOKUP(A58,Регистрация!$B$7:$N$71,11,FALSE),")")</f>
        <v xml:space="preserve">  ()</v>
      </c>
      <c r="C58" s="690"/>
      <c r="D58" s="696"/>
      <c r="E58" s="696"/>
      <c r="F58" s="696"/>
      <c r="G58" s="696"/>
      <c r="H58" s="696"/>
      <c r="I58" s="700"/>
      <c r="J58" s="690"/>
      <c r="K58" s="696"/>
      <c r="L58" s="696"/>
      <c r="M58" s="696"/>
      <c r="N58" s="696"/>
      <c r="O58" s="696"/>
      <c r="P58" s="700"/>
      <c r="Q58" s="690"/>
      <c r="R58" s="696"/>
      <c r="S58" s="696"/>
      <c r="T58" s="696"/>
      <c r="U58" s="696"/>
      <c r="V58" s="696"/>
      <c r="W58" s="700"/>
      <c r="X58" s="693"/>
      <c r="Y58" s="707"/>
    </row>
    <row r="59" spans="1:25" ht="10.5" customHeight="1" thickTop="1">
      <c r="A59" s="375">
        <v>53</v>
      </c>
      <c r="B59" s="376" t="str">
        <f>CONCATENATE(VLOOKUP(A59,Регистрация!$B$7:$N$71,3,FALSE)," ",VLOOKUP(A59,Регистрация!$B$7:$N$71,4,FALSE)," (",VLOOKUP(A59,Регистрация!$B$7:$N$71,11,FALSE),")")</f>
        <v xml:space="preserve">  ()</v>
      </c>
      <c r="C59" s="697"/>
      <c r="D59" s="694"/>
      <c r="E59" s="694"/>
      <c r="F59" s="694"/>
      <c r="G59" s="694"/>
      <c r="H59" s="694"/>
      <c r="I59" s="713">
        <f t="shared" ref="I59" si="74">SUM(D59:H59)-MIN(D59:H59)-MAX(D59:H59)</f>
        <v>0</v>
      </c>
      <c r="J59" s="697"/>
      <c r="K59" s="694"/>
      <c r="L59" s="694"/>
      <c r="M59" s="694"/>
      <c r="N59" s="694"/>
      <c r="O59" s="694"/>
      <c r="P59" s="713">
        <f t="shared" ref="P59" si="75">SUM(K59:O59)-MIN(K59:O59)-MAX(K59:O59)</f>
        <v>0</v>
      </c>
      <c r="Q59" s="697"/>
      <c r="R59" s="694"/>
      <c r="S59" s="694"/>
      <c r="T59" s="694"/>
      <c r="U59" s="694"/>
      <c r="V59" s="694"/>
      <c r="W59" s="713">
        <f t="shared" ref="W59" si="76">SUM(R59:V59)-MIN(R59:V59)-MAX(R59:V59)</f>
        <v>0</v>
      </c>
      <c r="X59" s="708"/>
      <c r="Y59" s="705"/>
    </row>
    <row r="60" spans="1:25" ht="10.5" customHeight="1" thickBot="1">
      <c r="A60" s="386">
        <v>54</v>
      </c>
      <c r="B60" s="387" t="str">
        <f>CONCATENATE(VLOOKUP(A60,Регистрация!$B$7:$N$71,3,FALSE)," ",VLOOKUP(A60,Регистрация!$B$7:$N$71,4,FALSE)," (",VLOOKUP(A60,Регистрация!$B$7:$N$71,11,FALSE),")")</f>
        <v xml:space="preserve">  ()</v>
      </c>
      <c r="C60" s="690"/>
      <c r="D60" s="696"/>
      <c r="E60" s="696"/>
      <c r="F60" s="696"/>
      <c r="G60" s="696"/>
      <c r="H60" s="696"/>
      <c r="I60" s="700"/>
      <c r="J60" s="690"/>
      <c r="K60" s="696"/>
      <c r="L60" s="696"/>
      <c r="M60" s="696"/>
      <c r="N60" s="696"/>
      <c r="O60" s="696"/>
      <c r="P60" s="700"/>
      <c r="Q60" s="690"/>
      <c r="R60" s="696"/>
      <c r="S60" s="696"/>
      <c r="T60" s="696"/>
      <c r="U60" s="696"/>
      <c r="V60" s="696"/>
      <c r="W60" s="700"/>
      <c r="X60" s="693"/>
      <c r="Y60" s="707"/>
    </row>
    <row r="61" spans="1:25" ht="10.5" customHeight="1" thickTop="1">
      <c r="A61" s="375">
        <v>55</v>
      </c>
      <c r="B61" s="376" t="str">
        <f>CONCATENATE(VLOOKUP(A61,Регистрация!$B$7:$N$71,3,FALSE)," ",VLOOKUP(A61,Регистрация!$B$7:$N$71,4,FALSE)," (",VLOOKUP(A61,Регистрация!$B$7:$N$71,11,FALSE),")")</f>
        <v xml:space="preserve">  ()</v>
      </c>
      <c r="C61" s="697"/>
      <c r="D61" s="694"/>
      <c r="E61" s="694"/>
      <c r="F61" s="694"/>
      <c r="G61" s="694"/>
      <c r="H61" s="694"/>
      <c r="I61" s="713">
        <f t="shared" ref="I61" si="77">SUM(D61:H61)-MIN(D61:H61)-MAX(D61:H61)</f>
        <v>0</v>
      </c>
      <c r="J61" s="697"/>
      <c r="K61" s="694"/>
      <c r="L61" s="694"/>
      <c r="M61" s="694"/>
      <c r="N61" s="694"/>
      <c r="O61" s="694"/>
      <c r="P61" s="713">
        <f t="shared" ref="P61" si="78">SUM(K61:O61)-MIN(K61:O61)-MAX(K61:O61)</f>
        <v>0</v>
      </c>
      <c r="Q61" s="697"/>
      <c r="R61" s="694"/>
      <c r="S61" s="694"/>
      <c r="T61" s="694"/>
      <c r="U61" s="694"/>
      <c r="V61" s="694"/>
      <c r="W61" s="713">
        <f t="shared" ref="W61" si="79">SUM(R61:V61)-MIN(R61:V61)-MAX(R61:V61)</f>
        <v>0</v>
      </c>
      <c r="X61" s="708"/>
      <c r="Y61" s="705"/>
    </row>
    <row r="62" spans="1:25" ht="10.5" customHeight="1" thickBot="1">
      <c r="A62" s="386">
        <v>56</v>
      </c>
      <c r="B62" s="387" t="str">
        <f>CONCATENATE(VLOOKUP(A62,Регистрация!$B$7:$N$71,3,FALSE)," ",VLOOKUP(A62,Регистрация!$B$7:$N$71,4,FALSE)," (",VLOOKUP(A62,Регистрация!$B$7:$N$71,11,FALSE),")")</f>
        <v xml:space="preserve">  ()</v>
      </c>
      <c r="C62" s="690"/>
      <c r="D62" s="696"/>
      <c r="E62" s="696"/>
      <c r="F62" s="696"/>
      <c r="G62" s="696"/>
      <c r="H62" s="696"/>
      <c r="I62" s="700"/>
      <c r="J62" s="690"/>
      <c r="K62" s="696"/>
      <c r="L62" s="696"/>
      <c r="M62" s="696"/>
      <c r="N62" s="696"/>
      <c r="O62" s="696"/>
      <c r="P62" s="700"/>
      <c r="Q62" s="690"/>
      <c r="R62" s="696"/>
      <c r="S62" s="696"/>
      <c r="T62" s="696"/>
      <c r="U62" s="696"/>
      <c r="V62" s="696"/>
      <c r="W62" s="700"/>
      <c r="X62" s="693"/>
      <c r="Y62" s="707"/>
    </row>
    <row r="63" spans="1:25" ht="10.5" customHeight="1" thickTop="1">
      <c r="A63" s="375">
        <v>57</v>
      </c>
      <c r="B63" s="376" t="str">
        <f>CONCATENATE(VLOOKUP(A63,Регистрация!$B$7:$N$71,3,FALSE)," ",VLOOKUP(A63,Регистрация!$B$7:$N$71,4,FALSE)," (",VLOOKUP(A63,Регистрация!$B$7:$N$71,11,FALSE),")")</f>
        <v xml:space="preserve">  ()</v>
      </c>
      <c r="C63" s="697"/>
      <c r="D63" s="694"/>
      <c r="E63" s="694"/>
      <c r="F63" s="694"/>
      <c r="G63" s="694"/>
      <c r="H63" s="694"/>
      <c r="I63" s="713">
        <f t="shared" ref="I63" si="80">SUM(D63:H63)-MIN(D63:H63)-MAX(D63:H63)</f>
        <v>0</v>
      </c>
      <c r="J63" s="697"/>
      <c r="K63" s="694"/>
      <c r="L63" s="694"/>
      <c r="M63" s="694"/>
      <c r="N63" s="694"/>
      <c r="O63" s="694"/>
      <c r="P63" s="713">
        <f t="shared" ref="P63" si="81">SUM(K63:O63)-MIN(K63:O63)-MAX(K63:O63)</f>
        <v>0</v>
      </c>
      <c r="Q63" s="697"/>
      <c r="R63" s="694"/>
      <c r="S63" s="694"/>
      <c r="T63" s="694"/>
      <c r="U63" s="694"/>
      <c r="V63" s="694"/>
      <c r="W63" s="713">
        <f t="shared" ref="W63" si="82">SUM(R63:V63)-MIN(R63:V63)-MAX(R63:V63)</f>
        <v>0</v>
      </c>
      <c r="X63" s="708"/>
      <c r="Y63" s="705"/>
    </row>
    <row r="64" spans="1:25" ht="10.5" customHeight="1" thickBot="1">
      <c r="A64" s="386">
        <v>58</v>
      </c>
      <c r="B64" s="387" t="str">
        <f>CONCATENATE(VLOOKUP(A64,Регистрация!$B$7:$N$71,3,FALSE)," ",VLOOKUP(A64,Регистрация!$B$7:$N$71,4,FALSE)," (",VLOOKUP(A64,Регистрация!$B$7:$N$71,11,FALSE),")")</f>
        <v xml:space="preserve">  ()</v>
      </c>
      <c r="C64" s="690"/>
      <c r="D64" s="696"/>
      <c r="E64" s="696"/>
      <c r="F64" s="696"/>
      <c r="G64" s="696"/>
      <c r="H64" s="696"/>
      <c r="I64" s="700"/>
      <c r="J64" s="690"/>
      <c r="K64" s="696"/>
      <c r="L64" s="696"/>
      <c r="M64" s="696"/>
      <c r="N64" s="696"/>
      <c r="O64" s="696"/>
      <c r="P64" s="700"/>
      <c r="Q64" s="690"/>
      <c r="R64" s="696"/>
      <c r="S64" s="696"/>
      <c r="T64" s="696"/>
      <c r="U64" s="696"/>
      <c r="V64" s="696"/>
      <c r="W64" s="700"/>
      <c r="X64" s="693"/>
      <c r="Y64" s="707"/>
    </row>
    <row r="65" spans="1:25" ht="10.5" customHeight="1" thickTop="1">
      <c r="A65" s="375">
        <v>59</v>
      </c>
      <c r="B65" s="376" t="str">
        <f>CONCATENATE(VLOOKUP(A65,Регистрация!$B$7:$N$71,3,FALSE)," ",VLOOKUP(A65,Регистрация!$B$7:$N$71,4,FALSE)," (",VLOOKUP(A65,Регистрация!$B$7:$N$71,11,FALSE),")")</f>
        <v xml:space="preserve">  ()</v>
      </c>
      <c r="C65" s="697"/>
      <c r="D65" s="694"/>
      <c r="E65" s="694"/>
      <c r="F65" s="694"/>
      <c r="G65" s="694"/>
      <c r="H65" s="694"/>
      <c r="I65" s="713">
        <f t="shared" ref="I65" si="83">SUM(D65:H65)-MIN(D65:H65)-MAX(D65:H65)</f>
        <v>0</v>
      </c>
      <c r="J65" s="697"/>
      <c r="K65" s="694"/>
      <c r="L65" s="694"/>
      <c r="M65" s="694"/>
      <c r="N65" s="694"/>
      <c r="O65" s="694"/>
      <c r="P65" s="713">
        <f t="shared" ref="P65" si="84">SUM(K65:O65)-MIN(K65:O65)-MAX(K65:O65)</f>
        <v>0</v>
      </c>
      <c r="Q65" s="697"/>
      <c r="R65" s="694"/>
      <c r="S65" s="694"/>
      <c r="T65" s="694"/>
      <c r="U65" s="694"/>
      <c r="V65" s="694"/>
      <c r="W65" s="713">
        <f t="shared" ref="W65" si="85">SUM(R65:V65)-MIN(R65:V65)-MAX(R65:V65)</f>
        <v>0</v>
      </c>
      <c r="X65" s="708"/>
      <c r="Y65" s="705"/>
    </row>
    <row r="66" spans="1:25" ht="10.5" customHeight="1" thickBot="1">
      <c r="A66" s="386">
        <v>60</v>
      </c>
      <c r="B66" s="387" t="str">
        <f>CONCATENATE(VLOOKUP(A66,Регистрация!$B$7:$N$71,3,FALSE)," ",VLOOKUP(A66,Регистрация!$B$7:$N$71,4,FALSE)," (",VLOOKUP(A66,Регистрация!$B$7:$N$71,11,FALSE),")")</f>
        <v xml:space="preserve">  ()</v>
      </c>
      <c r="C66" s="690"/>
      <c r="D66" s="696"/>
      <c r="E66" s="696"/>
      <c r="F66" s="696"/>
      <c r="G66" s="696"/>
      <c r="H66" s="696"/>
      <c r="I66" s="700"/>
      <c r="J66" s="690"/>
      <c r="K66" s="696"/>
      <c r="L66" s="696"/>
      <c r="M66" s="696"/>
      <c r="N66" s="696"/>
      <c r="O66" s="696"/>
      <c r="P66" s="700"/>
      <c r="Q66" s="690"/>
      <c r="R66" s="696"/>
      <c r="S66" s="696"/>
      <c r="T66" s="696"/>
      <c r="U66" s="696"/>
      <c r="V66" s="696"/>
      <c r="W66" s="700"/>
      <c r="X66" s="693"/>
      <c r="Y66" s="707"/>
    </row>
    <row r="67" spans="1:25" ht="10.5" customHeight="1" thickTop="1">
      <c r="A67" s="375">
        <v>61</v>
      </c>
      <c r="B67" s="376" t="str">
        <f>CONCATENATE(VLOOKUP(A67,Регистрация!$B$7:$N$71,3,FALSE)," ",VLOOKUP(A67,Регистрация!$B$7:$N$71,4,FALSE)," (",VLOOKUP(A67,Регистрация!$B$7:$N$71,11,FALSE),")")</f>
        <v xml:space="preserve">  ()</v>
      </c>
      <c r="C67" s="697"/>
      <c r="D67" s="694"/>
      <c r="E67" s="694"/>
      <c r="F67" s="694"/>
      <c r="G67" s="694"/>
      <c r="H67" s="694"/>
      <c r="I67" s="713">
        <f t="shared" ref="I67" si="86">SUM(D67:H67)-MIN(D67:H67)-MAX(D67:H67)</f>
        <v>0</v>
      </c>
      <c r="J67" s="697"/>
      <c r="K67" s="694"/>
      <c r="L67" s="694"/>
      <c r="M67" s="694"/>
      <c r="N67" s="694"/>
      <c r="O67" s="694"/>
      <c r="P67" s="713">
        <f t="shared" ref="P67" si="87">SUM(K67:O67)-MIN(K67:O67)-MAX(K67:O67)</f>
        <v>0</v>
      </c>
      <c r="Q67" s="697"/>
      <c r="R67" s="694"/>
      <c r="S67" s="694"/>
      <c r="T67" s="694"/>
      <c r="U67" s="694"/>
      <c r="V67" s="694"/>
      <c r="W67" s="713">
        <f t="shared" ref="W67" si="88">SUM(R67:V67)-MIN(R67:V67)-MAX(R67:V67)</f>
        <v>0</v>
      </c>
      <c r="X67" s="708"/>
      <c r="Y67" s="705"/>
    </row>
    <row r="68" spans="1:25" ht="10.5" customHeight="1" thickBot="1">
      <c r="A68" s="386">
        <v>62</v>
      </c>
      <c r="B68" s="387" t="str">
        <f>CONCATENATE(VLOOKUP(A68,Регистрация!$B$7:$N$71,3,FALSE)," ",VLOOKUP(A68,Регистрация!$B$7:$N$71,4,FALSE)," (",VLOOKUP(A68,Регистрация!$B$7:$N$71,11,FALSE),")")</f>
        <v xml:space="preserve">  ()</v>
      </c>
      <c r="C68" s="690"/>
      <c r="D68" s="696"/>
      <c r="E68" s="696"/>
      <c r="F68" s="696"/>
      <c r="G68" s="696"/>
      <c r="H68" s="696"/>
      <c r="I68" s="700"/>
      <c r="J68" s="690"/>
      <c r="K68" s="696"/>
      <c r="L68" s="696"/>
      <c r="M68" s="696"/>
      <c r="N68" s="696"/>
      <c r="O68" s="696"/>
      <c r="P68" s="700"/>
      <c r="Q68" s="690"/>
      <c r="R68" s="696"/>
      <c r="S68" s="696"/>
      <c r="T68" s="696"/>
      <c r="U68" s="696"/>
      <c r="V68" s="696"/>
      <c r="W68" s="700"/>
      <c r="X68" s="693"/>
      <c r="Y68" s="707"/>
    </row>
    <row r="69" spans="1:25" ht="10.5" customHeight="1" thickTop="1">
      <c r="A69" s="375">
        <v>63</v>
      </c>
      <c r="B69" s="376" t="str">
        <f>CONCATENATE(VLOOKUP(A69,Регистрация!$B$7:$N$71,3,FALSE)," ",VLOOKUP(A69,Регистрация!$B$7:$N$71,4,FALSE)," (",VLOOKUP(A69,Регистрация!$B$7:$N$71,11,FALSE),")")</f>
        <v xml:space="preserve">  ()</v>
      </c>
      <c r="C69" s="697"/>
      <c r="D69" s="694"/>
      <c r="E69" s="694"/>
      <c r="F69" s="694"/>
      <c r="G69" s="694"/>
      <c r="H69" s="694"/>
      <c r="I69" s="713">
        <f t="shared" ref="I69" si="89">SUM(D69:H69)-MIN(D69:H69)-MAX(D69:H69)</f>
        <v>0</v>
      </c>
      <c r="J69" s="697"/>
      <c r="K69" s="694"/>
      <c r="L69" s="694"/>
      <c r="M69" s="694"/>
      <c r="N69" s="694"/>
      <c r="O69" s="694"/>
      <c r="P69" s="713">
        <f t="shared" ref="P69" si="90">SUM(K69:O69)-MIN(K69:O69)-MAX(K69:O69)</f>
        <v>0</v>
      </c>
      <c r="Q69" s="697"/>
      <c r="R69" s="694"/>
      <c r="S69" s="694"/>
      <c r="T69" s="694"/>
      <c r="U69" s="694"/>
      <c r="V69" s="694"/>
      <c r="W69" s="713">
        <f t="shared" ref="W69" si="91">SUM(R69:V69)-MIN(R69:V69)-MAX(R69:V69)</f>
        <v>0</v>
      </c>
      <c r="X69" s="708"/>
      <c r="Y69" s="705"/>
    </row>
    <row r="70" spans="1:25" ht="10.5" customHeight="1" thickBot="1">
      <c r="A70" s="386">
        <v>64</v>
      </c>
      <c r="B70" s="387" t="e">
        <f>CONCATENATE(VLOOKUP(A70,Регистрация!$B$7:$N$71,3,FALSE)," ",VLOOKUP(A70,Регистрация!$B$7:$N$71,4,FALSE)," (",VLOOKUP(A70,Регистрация!$B$7:$N$71,11,FALSE),")")</f>
        <v>#N/A</v>
      </c>
      <c r="C70" s="690"/>
      <c r="D70" s="696"/>
      <c r="E70" s="696"/>
      <c r="F70" s="696"/>
      <c r="G70" s="696"/>
      <c r="H70" s="696"/>
      <c r="I70" s="700"/>
      <c r="J70" s="690"/>
      <c r="K70" s="696"/>
      <c r="L70" s="696"/>
      <c r="M70" s="696"/>
      <c r="N70" s="696"/>
      <c r="O70" s="696"/>
      <c r="P70" s="700"/>
      <c r="Q70" s="690"/>
      <c r="R70" s="696"/>
      <c r="S70" s="696"/>
      <c r="T70" s="696"/>
      <c r="U70" s="696"/>
      <c r="V70" s="696"/>
      <c r="W70" s="700"/>
      <c r="X70" s="693"/>
      <c r="Y70" s="707"/>
    </row>
    <row r="71" spans="1:25" ht="13" thickTop="1"/>
    <row r="73" spans="1:25">
      <c r="B73" s="714" t="str">
        <f>Регистрация!F73</f>
        <v>Главный судья:</v>
      </c>
      <c r="C73" s="714"/>
      <c r="D73" s="714"/>
      <c r="E73" s="388"/>
      <c r="F73" s="388"/>
      <c r="G73" s="388"/>
      <c r="H73" s="388"/>
      <c r="I73" s="388"/>
      <c r="J73" s="388"/>
      <c r="K73" s="388"/>
      <c r="L73" s="388"/>
      <c r="M73" s="388"/>
      <c r="N73" s="388"/>
      <c r="O73" s="674" t="str">
        <f>Регистрация!N73</f>
        <v>Цыльев В.А. С1К</v>
      </c>
      <c r="P73" s="674"/>
      <c r="Q73" s="674"/>
      <c r="R73" s="674"/>
      <c r="S73" s="674"/>
      <c r="T73" s="674"/>
      <c r="U73" s="674"/>
      <c r="V73" s="674"/>
      <c r="W73" s="674"/>
      <c r="X73" s="674"/>
      <c r="Y73" s="674"/>
    </row>
    <row r="74" spans="1:25">
      <c r="B74" s="334"/>
      <c r="C74" s="334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34"/>
    </row>
    <row r="75" spans="1:25">
      <c r="B75" s="714" t="str">
        <f>Регистрация!F74</f>
        <v>Главный секретерь:</v>
      </c>
      <c r="C75" s="714"/>
      <c r="D75" s="714"/>
      <c r="E75" s="388"/>
      <c r="F75" s="388"/>
      <c r="G75" s="388"/>
      <c r="H75" s="388"/>
      <c r="I75" s="388"/>
      <c r="J75" s="388"/>
      <c r="K75" s="388"/>
      <c r="L75" s="388"/>
      <c r="M75" s="388"/>
      <c r="N75" s="388"/>
      <c r="O75" s="674" t="str">
        <f>Регистрация!N74</f>
        <v>Орлова Е.С 3 К</v>
      </c>
      <c r="P75" s="674"/>
      <c r="Q75" s="674"/>
      <c r="R75" s="674"/>
      <c r="S75" s="674"/>
      <c r="T75" s="674"/>
      <c r="U75" s="674"/>
      <c r="V75" s="674"/>
      <c r="W75" s="674"/>
      <c r="X75" s="674"/>
      <c r="Y75" s="674"/>
    </row>
  </sheetData>
  <sheetProtection formatColumns="0" formatRows="0"/>
  <mergeCells count="757">
    <mergeCell ref="B75:D75"/>
    <mergeCell ref="B73:D73"/>
    <mergeCell ref="O75:Y75"/>
    <mergeCell ref="O73:Y73"/>
    <mergeCell ref="O69:O70"/>
    <mergeCell ref="P69:P70"/>
    <mergeCell ref="Q69:Q70"/>
    <mergeCell ref="R69:R70"/>
    <mergeCell ref="S69:S70"/>
    <mergeCell ref="T69:T70"/>
    <mergeCell ref="I69:I70"/>
    <mergeCell ref="J69:J70"/>
    <mergeCell ref="K69:K70"/>
    <mergeCell ref="L69:L70"/>
    <mergeCell ref="M69:M70"/>
    <mergeCell ref="N69:N70"/>
    <mergeCell ref="C69:C70"/>
    <mergeCell ref="D69:D70"/>
    <mergeCell ref="E69:E70"/>
    <mergeCell ref="F69:F70"/>
    <mergeCell ref="G69:G70"/>
    <mergeCell ref="H69:H70"/>
    <mergeCell ref="W69:W70"/>
    <mergeCell ref="X69:X70"/>
    <mergeCell ref="Y65:Y66"/>
    <mergeCell ref="C67:C68"/>
    <mergeCell ref="D67:D68"/>
    <mergeCell ref="E67:E68"/>
    <mergeCell ref="F67:F68"/>
    <mergeCell ref="G67:G68"/>
    <mergeCell ref="H67:H68"/>
    <mergeCell ref="I67:I68"/>
    <mergeCell ref="Q65:Q66"/>
    <mergeCell ref="R65:R66"/>
    <mergeCell ref="S65:S66"/>
    <mergeCell ref="T65:T66"/>
    <mergeCell ref="U65:U66"/>
    <mergeCell ref="V65:V66"/>
    <mergeCell ref="K65:K66"/>
    <mergeCell ref="L65:L66"/>
    <mergeCell ref="M65:M66"/>
    <mergeCell ref="N65:N66"/>
    <mergeCell ref="O65:O66"/>
    <mergeCell ref="P65:P66"/>
    <mergeCell ref="C65:C66"/>
    <mergeCell ref="D65:D66"/>
    <mergeCell ref="E65:E66"/>
    <mergeCell ref="F65:F66"/>
    <mergeCell ref="G65:G66"/>
    <mergeCell ref="H65:H66"/>
    <mergeCell ref="S63:S64"/>
    <mergeCell ref="T63:T64"/>
    <mergeCell ref="U63:U64"/>
    <mergeCell ref="V63:V64"/>
    <mergeCell ref="W63:W64"/>
    <mergeCell ref="X63:X64"/>
    <mergeCell ref="G63:G64"/>
    <mergeCell ref="H63:H64"/>
    <mergeCell ref="I63:I64"/>
    <mergeCell ref="J63:J64"/>
    <mergeCell ref="K63:K64"/>
    <mergeCell ref="L63:L64"/>
    <mergeCell ref="O63:O64"/>
    <mergeCell ref="P63:P64"/>
    <mergeCell ref="Q63:Q64"/>
    <mergeCell ref="R63:R64"/>
    <mergeCell ref="M63:M64"/>
    <mergeCell ref="N63:N64"/>
    <mergeCell ref="I65:I66"/>
    <mergeCell ref="J65:J66"/>
    <mergeCell ref="W65:W66"/>
    <mergeCell ref="X65:X66"/>
    <mergeCell ref="T61:T62"/>
    <mergeCell ref="U61:U62"/>
    <mergeCell ref="V61:V62"/>
    <mergeCell ref="W61:W62"/>
    <mergeCell ref="W59:W60"/>
    <mergeCell ref="X59:X60"/>
    <mergeCell ref="Y59:Y60"/>
    <mergeCell ref="S59:S60"/>
    <mergeCell ref="T59:T60"/>
    <mergeCell ref="U59:U60"/>
    <mergeCell ref="V59:V60"/>
    <mergeCell ref="Q59:Q60"/>
    <mergeCell ref="R59:R60"/>
    <mergeCell ref="K59:K60"/>
    <mergeCell ref="L59:L60"/>
    <mergeCell ref="M59:M60"/>
    <mergeCell ref="N59:N60"/>
    <mergeCell ref="O59:O60"/>
    <mergeCell ref="P59:P60"/>
    <mergeCell ref="C59:C60"/>
    <mergeCell ref="D59:D60"/>
    <mergeCell ref="E59:E60"/>
    <mergeCell ref="F59:F60"/>
    <mergeCell ref="G59:G60"/>
    <mergeCell ref="H59:H60"/>
    <mergeCell ref="I59:I60"/>
    <mergeCell ref="J59:J60"/>
    <mergeCell ref="S57:S58"/>
    <mergeCell ref="T57:T58"/>
    <mergeCell ref="U57:U58"/>
    <mergeCell ref="V57:V58"/>
    <mergeCell ref="W57:W58"/>
    <mergeCell ref="X57:X58"/>
    <mergeCell ref="G57:G58"/>
    <mergeCell ref="H57:H58"/>
    <mergeCell ref="I57:I58"/>
    <mergeCell ref="J57:J58"/>
    <mergeCell ref="K57:K58"/>
    <mergeCell ref="L57:L58"/>
    <mergeCell ref="O57:O58"/>
    <mergeCell ref="P57:P58"/>
    <mergeCell ref="Q57:Q58"/>
    <mergeCell ref="R57:R58"/>
    <mergeCell ref="M57:M58"/>
    <mergeCell ref="N57:N58"/>
    <mergeCell ref="T55:T56"/>
    <mergeCell ref="U55:U56"/>
    <mergeCell ref="V55:V56"/>
    <mergeCell ref="W55:W56"/>
    <mergeCell ref="W53:W54"/>
    <mergeCell ref="X53:X54"/>
    <mergeCell ref="Y53:Y54"/>
    <mergeCell ref="S53:S54"/>
    <mergeCell ref="T53:T54"/>
    <mergeCell ref="U53:U54"/>
    <mergeCell ref="V53:V54"/>
    <mergeCell ref="Q53:Q54"/>
    <mergeCell ref="R53:R54"/>
    <mergeCell ref="K53:K54"/>
    <mergeCell ref="L53:L54"/>
    <mergeCell ref="M53:M54"/>
    <mergeCell ref="N53:N54"/>
    <mergeCell ref="O53:O54"/>
    <mergeCell ref="P53:P54"/>
    <mergeCell ref="C53:C54"/>
    <mergeCell ref="D53:D54"/>
    <mergeCell ref="E53:E54"/>
    <mergeCell ref="F53:F54"/>
    <mergeCell ref="G53:G54"/>
    <mergeCell ref="H53:H54"/>
    <mergeCell ref="I53:I54"/>
    <mergeCell ref="J53:J54"/>
    <mergeCell ref="S51:S52"/>
    <mergeCell ref="T51:T52"/>
    <mergeCell ref="U51:U52"/>
    <mergeCell ref="V51:V52"/>
    <mergeCell ref="W51:W52"/>
    <mergeCell ref="X51:X52"/>
    <mergeCell ref="G51:G52"/>
    <mergeCell ref="H51:H52"/>
    <mergeCell ref="I51:I52"/>
    <mergeCell ref="J51:J52"/>
    <mergeCell ref="K51:K52"/>
    <mergeCell ref="L51:L52"/>
    <mergeCell ref="O51:O52"/>
    <mergeCell ref="P51:P52"/>
    <mergeCell ref="Q51:Q52"/>
    <mergeCell ref="R51:R52"/>
    <mergeCell ref="M51:M52"/>
    <mergeCell ref="N51:N52"/>
    <mergeCell ref="T49:T50"/>
    <mergeCell ref="U49:U50"/>
    <mergeCell ref="V49:V50"/>
    <mergeCell ref="W49:W50"/>
    <mergeCell ref="W47:W48"/>
    <mergeCell ref="X47:X48"/>
    <mergeCell ref="Y47:Y48"/>
    <mergeCell ref="S47:S48"/>
    <mergeCell ref="T47:T48"/>
    <mergeCell ref="U47:U48"/>
    <mergeCell ref="V47:V48"/>
    <mergeCell ref="Q47:Q48"/>
    <mergeCell ref="R47:R48"/>
    <mergeCell ref="K47:K48"/>
    <mergeCell ref="L47:L48"/>
    <mergeCell ref="M47:M48"/>
    <mergeCell ref="N47:N48"/>
    <mergeCell ref="O47:O48"/>
    <mergeCell ref="P47:P48"/>
    <mergeCell ref="C47:C48"/>
    <mergeCell ref="D47:D48"/>
    <mergeCell ref="E47:E48"/>
    <mergeCell ref="F47:F48"/>
    <mergeCell ref="G47:G48"/>
    <mergeCell ref="H47:H48"/>
    <mergeCell ref="I47:I48"/>
    <mergeCell ref="J47:J48"/>
    <mergeCell ref="S45:S46"/>
    <mergeCell ref="T45:T46"/>
    <mergeCell ref="U45:U46"/>
    <mergeCell ref="V45:V46"/>
    <mergeCell ref="W45:W46"/>
    <mergeCell ref="X45:X46"/>
    <mergeCell ref="G45:G46"/>
    <mergeCell ref="H45:H46"/>
    <mergeCell ref="I45:I46"/>
    <mergeCell ref="J45:J46"/>
    <mergeCell ref="K45:K46"/>
    <mergeCell ref="L45:L46"/>
    <mergeCell ref="O45:O46"/>
    <mergeCell ref="P45:P46"/>
    <mergeCell ref="Q45:Q46"/>
    <mergeCell ref="R45:R46"/>
    <mergeCell ref="M45:M46"/>
    <mergeCell ref="N45:N46"/>
    <mergeCell ref="T43:T44"/>
    <mergeCell ref="U43:U44"/>
    <mergeCell ref="V43:V44"/>
    <mergeCell ref="W43:W44"/>
    <mergeCell ref="W41:W42"/>
    <mergeCell ref="X41:X42"/>
    <mergeCell ref="Y41:Y42"/>
    <mergeCell ref="S41:S42"/>
    <mergeCell ref="T41:T42"/>
    <mergeCell ref="U41:U42"/>
    <mergeCell ref="V41:V42"/>
    <mergeCell ref="Q41:Q42"/>
    <mergeCell ref="R41:R42"/>
    <mergeCell ref="K41:K42"/>
    <mergeCell ref="L41:L42"/>
    <mergeCell ref="M41:M42"/>
    <mergeCell ref="N41:N42"/>
    <mergeCell ref="O41:O42"/>
    <mergeCell ref="P41:P42"/>
    <mergeCell ref="C41:C42"/>
    <mergeCell ref="D41:D42"/>
    <mergeCell ref="E41:E42"/>
    <mergeCell ref="F41:F42"/>
    <mergeCell ref="G41:G42"/>
    <mergeCell ref="H41:H42"/>
    <mergeCell ref="I41:I42"/>
    <mergeCell ref="J41:J42"/>
    <mergeCell ref="S39:S40"/>
    <mergeCell ref="T39:T40"/>
    <mergeCell ref="U39:U40"/>
    <mergeCell ref="V39:V40"/>
    <mergeCell ref="W39:W40"/>
    <mergeCell ref="X39:X40"/>
    <mergeCell ref="G39:G40"/>
    <mergeCell ref="H39:H40"/>
    <mergeCell ref="I39:I40"/>
    <mergeCell ref="J39:J40"/>
    <mergeCell ref="K39:K40"/>
    <mergeCell ref="L39:L40"/>
    <mergeCell ref="O39:O40"/>
    <mergeCell ref="P39:P40"/>
    <mergeCell ref="Q39:Q40"/>
    <mergeCell ref="R39:R40"/>
    <mergeCell ref="M39:M40"/>
    <mergeCell ref="N39:N40"/>
    <mergeCell ref="T37:T38"/>
    <mergeCell ref="U37:U38"/>
    <mergeCell ref="V37:V38"/>
    <mergeCell ref="W37:W38"/>
    <mergeCell ref="W35:W36"/>
    <mergeCell ref="X35:X36"/>
    <mergeCell ref="Y35:Y36"/>
    <mergeCell ref="S35:S36"/>
    <mergeCell ref="T35:T36"/>
    <mergeCell ref="U35:U36"/>
    <mergeCell ref="V35:V36"/>
    <mergeCell ref="Q35:Q36"/>
    <mergeCell ref="R35:R36"/>
    <mergeCell ref="K35:K36"/>
    <mergeCell ref="L35:L36"/>
    <mergeCell ref="M35:M36"/>
    <mergeCell ref="N35:N36"/>
    <mergeCell ref="O35:O36"/>
    <mergeCell ref="P35:P36"/>
    <mergeCell ref="C35:C36"/>
    <mergeCell ref="D35:D36"/>
    <mergeCell ref="E35:E36"/>
    <mergeCell ref="F35:F36"/>
    <mergeCell ref="G35:G36"/>
    <mergeCell ref="H35:H36"/>
    <mergeCell ref="I35:I36"/>
    <mergeCell ref="J35:J36"/>
    <mergeCell ref="S33:S34"/>
    <mergeCell ref="T33:T34"/>
    <mergeCell ref="U33:U34"/>
    <mergeCell ref="V33:V34"/>
    <mergeCell ref="W33:W34"/>
    <mergeCell ref="X33:X34"/>
    <mergeCell ref="G33:G34"/>
    <mergeCell ref="H33:H34"/>
    <mergeCell ref="I33:I34"/>
    <mergeCell ref="J33:J34"/>
    <mergeCell ref="K33:K34"/>
    <mergeCell ref="L33:L34"/>
    <mergeCell ref="O33:O34"/>
    <mergeCell ref="P33:P34"/>
    <mergeCell ref="Q33:Q34"/>
    <mergeCell ref="R33:R34"/>
    <mergeCell ref="M33:M34"/>
    <mergeCell ref="N33:N34"/>
    <mergeCell ref="T31:T32"/>
    <mergeCell ref="U31:U32"/>
    <mergeCell ref="V31:V32"/>
    <mergeCell ref="W31:W32"/>
    <mergeCell ref="W29:W30"/>
    <mergeCell ref="X29:X30"/>
    <mergeCell ref="Y29:Y30"/>
    <mergeCell ref="S29:S30"/>
    <mergeCell ref="T29:T30"/>
    <mergeCell ref="U29:U30"/>
    <mergeCell ref="V29:V30"/>
    <mergeCell ref="Q29:Q30"/>
    <mergeCell ref="R29:R30"/>
    <mergeCell ref="K29:K30"/>
    <mergeCell ref="L29:L30"/>
    <mergeCell ref="M29:M30"/>
    <mergeCell ref="N29:N30"/>
    <mergeCell ref="O29:O30"/>
    <mergeCell ref="P29:P30"/>
    <mergeCell ref="C29:C30"/>
    <mergeCell ref="D29:D30"/>
    <mergeCell ref="E29:E30"/>
    <mergeCell ref="F29:F30"/>
    <mergeCell ref="G29:G30"/>
    <mergeCell ref="H29:H30"/>
    <mergeCell ref="I29:I30"/>
    <mergeCell ref="J29:J30"/>
    <mergeCell ref="S27:S28"/>
    <mergeCell ref="T27:T28"/>
    <mergeCell ref="U27:U28"/>
    <mergeCell ref="V27:V28"/>
    <mergeCell ref="W27:W28"/>
    <mergeCell ref="X27:X28"/>
    <mergeCell ref="G27:G28"/>
    <mergeCell ref="H27:H28"/>
    <mergeCell ref="I27:I28"/>
    <mergeCell ref="J27:J28"/>
    <mergeCell ref="K27:K28"/>
    <mergeCell ref="L27:L28"/>
    <mergeCell ref="O27:O28"/>
    <mergeCell ref="P27:P28"/>
    <mergeCell ref="Q27:Q28"/>
    <mergeCell ref="R27:R28"/>
    <mergeCell ref="M27:M28"/>
    <mergeCell ref="N27:N28"/>
    <mergeCell ref="T25:T26"/>
    <mergeCell ref="U25:U26"/>
    <mergeCell ref="V25:V26"/>
    <mergeCell ref="W25:W26"/>
    <mergeCell ref="W23:W24"/>
    <mergeCell ref="X23:X24"/>
    <mergeCell ref="Y23:Y24"/>
    <mergeCell ref="S23:S24"/>
    <mergeCell ref="T23:T24"/>
    <mergeCell ref="U23:U24"/>
    <mergeCell ref="V23:V24"/>
    <mergeCell ref="Q23:Q24"/>
    <mergeCell ref="R23:R24"/>
    <mergeCell ref="K23:K24"/>
    <mergeCell ref="L23:L24"/>
    <mergeCell ref="M23:M24"/>
    <mergeCell ref="N23:N24"/>
    <mergeCell ref="O23:O24"/>
    <mergeCell ref="P23:P24"/>
    <mergeCell ref="C23:C24"/>
    <mergeCell ref="D23:D24"/>
    <mergeCell ref="E23:E24"/>
    <mergeCell ref="F23:F24"/>
    <mergeCell ref="G23:G24"/>
    <mergeCell ref="H23:H24"/>
    <mergeCell ref="I23:I24"/>
    <mergeCell ref="J23:J24"/>
    <mergeCell ref="I21:I22"/>
    <mergeCell ref="J21:J22"/>
    <mergeCell ref="K21:K22"/>
    <mergeCell ref="L21:L22"/>
    <mergeCell ref="O21:O22"/>
    <mergeCell ref="P21:P22"/>
    <mergeCell ref="Q21:Q22"/>
    <mergeCell ref="R21:R22"/>
    <mergeCell ref="M21:M22"/>
    <mergeCell ref="N21:N22"/>
    <mergeCell ref="Y17:Y18"/>
    <mergeCell ref="S17:S18"/>
    <mergeCell ref="T17:T18"/>
    <mergeCell ref="U17:U18"/>
    <mergeCell ref="V17:V18"/>
    <mergeCell ref="S21:S22"/>
    <mergeCell ref="T21:T22"/>
    <mergeCell ref="U21:U22"/>
    <mergeCell ref="V21:V22"/>
    <mergeCell ref="W21:W22"/>
    <mergeCell ref="X21:X22"/>
    <mergeCell ref="N17:N18"/>
    <mergeCell ref="R19:R20"/>
    <mergeCell ref="S19:S20"/>
    <mergeCell ref="T19:T20"/>
    <mergeCell ref="U19:U20"/>
    <mergeCell ref="V19:V20"/>
    <mergeCell ref="W19:W20"/>
    <mergeCell ref="W17:W18"/>
    <mergeCell ref="X17:X18"/>
    <mergeCell ref="W15:W16"/>
    <mergeCell ref="X15:X16"/>
    <mergeCell ref="Y15:Y16"/>
    <mergeCell ref="C17:C18"/>
    <mergeCell ref="D17:D18"/>
    <mergeCell ref="E17:E18"/>
    <mergeCell ref="F17:F18"/>
    <mergeCell ref="G17:G18"/>
    <mergeCell ref="H17:H18"/>
    <mergeCell ref="M15:M16"/>
    <mergeCell ref="N15:N16"/>
    <mergeCell ref="O15:O16"/>
    <mergeCell ref="P15:P16"/>
    <mergeCell ref="Q15:Q16"/>
    <mergeCell ref="R15:R16"/>
    <mergeCell ref="O17:O18"/>
    <mergeCell ref="P17:P18"/>
    <mergeCell ref="Q17:Q18"/>
    <mergeCell ref="R17:R18"/>
    <mergeCell ref="I17:I18"/>
    <mergeCell ref="J17:J18"/>
    <mergeCell ref="K17:K18"/>
    <mergeCell ref="L17:L18"/>
    <mergeCell ref="M17:M18"/>
    <mergeCell ref="W13:W14"/>
    <mergeCell ref="X13:X14"/>
    <mergeCell ref="Y13:Y14"/>
    <mergeCell ref="C15:C16"/>
    <mergeCell ref="D15:D16"/>
    <mergeCell ref="E15:E16"/>
    <mergeCell ref="F15:F16"/>
    <mergeCell ref="G15:G16"/>
    <mergeCell ref="H15:H16"/>
    <mergeCell ref="N13:N14"/>
    <mergeCell ref="O13:O14"/>
    <mergeCell ref="P13:P14"/>
    <mergeCell ref="Q13:Q14"/>
    <mergeCell ref="R13:R14"/>
    <mergeCell ref="S13:S14"/>
    <mergeCell ref="S15:S16"/>
    <mergeCell ref="T15:T16"/>
    <mergeCell ref="I15:I16"/>
    <mergeCell ref="J15:J16"/>
    <mergeCell ref="K15:K16"/>
    <mergeCell ref="L15:L16"/>
    <mergeCell ref="U15:U16"/>
    <mergeCell ref="J13:J14"/>
    <mergeCell ref="V15:V16"/>
    <mergeCell ref="V11:V12"/>
    <mergeCell ref="J11:J12"/>
    <mergeCell ref="K11:K12"/>
    <mergeCell ref="L11:L12"/>
    <mergeCell ref="M11:M12"/>
    <mergeCell ref="N11:N12"/>
    <mergeCell ref="O11:O12"/>
    <mergeCell ref="T13:T14"/>
    <mergeCell ref="U13:U14"/>
    <mergeCell ref="V13:V14"/>
    <mergeCell ref="C13:C14"/>
    <mergeCell ref="D13:D14"/>
    <mergeCell ref="E13:E14"/>
    <mergeCell ref="F13:F14"/>
    <mergeCell ref="G13:G14"/>
    <mergeCell ref="H13:H14"/>
    <mergeCell ref="I13:I14"/>
    <mergeCell ref="Q11:Q12"/>
    <mergeCell ref="R11:R12"/>
    <mergeCell ref="K13:K14"/>
    <mergeCell ref="L13:L14"/>
    <mergeCell ref="M13:M14"/>
    <mergeCell ref="W9:W10"/>
    <mergeCell ref="X9:X10"/>
    <mergeCell ref="Y9:Y10"/>
    <mergeCell ref="C11:C12"/>
    <mergeCell ref="D11:D12"/>
    <mergeCell ref="E11:E12"/>
    <mergeCell ref="F11:F12"/>
    <mergeCell ref="G11:G12"/>
    <mergeCell ref="H11:H12"/>
    <mergeCell ref="I11:I12"/>
    <mergeCell ref="H9:H10"/>
    <mergeCell ref="I9:I10"/>
    <mergeCell ref="J9:J10"/>
    <mergeCell ref="K9:K10"/>
    <mergeCell ref="L9:L10"/>
    <mergeCell ref="M9:M10"/>
    <mergeCell ref="U9:U10"/>
    <mergeCell ref="V9:V10"/>
    <mergeCell ref="W11:W12"/>
    <mergeCell ref="X11:X12"/>
    <mergeCell ref="Y11:Y12"/>
    <mergeCell ref="S11:S12"/>
    <mergeCell ref="T11:T12"/>
    <mergeCell ref="U11:U12"/>
    <mergeCell ref="G7:G8"/>
    <mergeCell ref="F7:F8"/>
    <mergeCell ref="E7:E8"/>
    <mergeCell ref="D7:D8"/>
    <mergeCell ref="C7:C8"/>
    <mergeCell ref="C9:C10"/>
    <mergeCell ref="D9:D10"/>
    <mergeCell ref="E9:E10"/>
    <mergeCell ref="F9:F10"/>
    <mergeCell ref="G9:G10"/>
    <mergeCell ref="J7:J8"/>
    <mergeCell ref="I7:I8"/>
    <mergeCell ref="H7:H8"/>
    <mergeCell ref="Y7:Y8"/>
    <mergeCell ref="X7:X8"/>
    <mergeCell ref="W7:W8"/>
    <mergeCell ref="V7:V8"/>
    <mergeCell ref="U7:U8"/>
    <mergeCell ref="T7:T8"/>
    <mergeCell ref="S7:S8"/>
    <mergeCell ref="R7:R8"/>
    <mergeCell ref="Q7:Q8"/>
    <mergeCell ref="P7:P8"/>
    <mergeCell ref="O7:O8"/>
    <mergeCell ref="N7:N8"/>
    <mergeCell ref="L7:L8"/>
    <mergeCell ref="K7:K8"/>
    <mergeCell ref="Y67:Y68"/>
    <mergeCell ref="U69:U70"/>
    <mergeCell ref="V69:V70"/>
    <mergeCell ref="N67:N68"/>
    <mergeCell ref="O67:O68"/>
    <mergeCell ref="P67:P68"/>
    <mergeCell ref="Q67:Q68"/>
    <mergeCell ref="J67:J68"/>
    <mergeCell ref="K67:K68"/>
    <mergeCell ref="L67:L68"/>
    <mergeCell ref="M67:M68"/>
    <mergeCell ref="Y69:Y70"/>
    <mergeCell ref="R67:R68"/>
    <mergeCell ref="S67:S68"/>
    <mergeCell ref="T67:T68"/>
    <mergeCell ref="U67:U68"/>
    <mergeCell ref="V67:V68"/>
    <mergeCell ref="W67:W68"/>
    <mergeCell ref="X67:X68"/>
    <mergeCell ref="C63:C64"/>
    <mergeCell ref="D63:D64"/>
    <mergeCell ref="E63:E64"/>
    <mergeCell ref="F63:F64"/>
    <mergeCell ref="X61:X62"/>
    <mergeCell ref="Y61:Y62"/>
    <mergeCell ref="Y63:Y64"/>
    <mergeCell ref="N61:N62"/>
    <mergeCell ref="O61:O62"/>
    <mergeCell ref="P61:P62"/>
    <mergeCell ref="Q61:Q62"/>
    <mergeCell ref="J61:J62"/>
    <mergeCell ref="K61:K62"/>
    <mergeCell ref="L61:L62"/>
    <mergeCell ref="M61:M62"/>
    <mergeCell ref="C61:C62"/>
    <mergeCell ref="D61:D62"/>
    <mergeCell ref="E61:E62"/>
    <mergeCell ref="F61:F62"/>
    <mergeCell ref="G61:G62"/>
    <mergeCell ref="H61:H62"/>
    <mergeCell ref="I61:I62"/>
    <mergeCell ref="R61:R62"/>
    <mergeCell ref="S61:S62"/>
    <mergeCell ref="C57:C58"/>
    <mergeCell ref="D57:D58"/>
    <mergeCell ref="E57:E58"/>
    <mergeCell ref="F57:F58"/>
    <mergeCell ref="X55:X56"/>
    <mergeCell ref="Y55:Y56"/>
    <mergeCell ref="Y57:Y58"/>
    <mergeCell ref="N55:N56"/>
    <mergeCell ref="O55:O56"/>
    <mergeCell ref="P55:P56"/>
    <mergeCell ref="Q55:Q56"/>
    <mergeCell ref="J55:J56"/>
    <mergeCell ref="K55:K56"/>
    <mergeCell ref="L55:L56"/>
    <mergeCell ref="M55:M56"/>
    <mergeCell ref="C55:C56"/>
    <mergeCell ref="D55:D56"/>
    <mergeCell ref="E55:E56"/>
    <mergeCell ref="F55:F56"/>
    <mergeCell ref="G55:G56"/>
    <mergeCell ref="H55:H56"/>
    <mergeCell ref="I55:I56"/>
    <mergeCell ref="R55:R56"/>
    <mergeCell ref="S55:S56"/>
    <mergeCell ref="C51:C52"/>
    <mergeCell ref="D51:D52"/>
    <mergeCell ref="E51:E52"/>
    <mergeCell ref="F51:F52"/>
    <mergeCell ref="X49:X50"/>
    <mergeCell ref="Y49:Y50"/>
    <mergeCell ref="Y51:Y52"/>
    <mergeCell ref="N49:N50"/>
    <mergeCell ref="O49:O50"/>
    <mergeCell ref="P49:P50"/>
    <mergeCell ref="Q49:Q50"/>
    <mergeCell ref="J49:J50"/>
    <mergeCell ref="K49:K50"/>
    <mergeCell ref="L49:L50"/>
    <mergeCell ref="M49:M50"/>
    <mergeCell ref="C49:C50"/>
    <mergeCell ref="D49:D50"/>
    <mergeCell ref="E49:E50"/>
    <mergeCell ref="F49:F50"/>
    <mergeCell ref="G49:G50"/>
    <mergeCell ref="H49:H50"/>
    <mergeCell ref="I49:I50"/>
    <mergeCell ref="R49:R50"/>
    <mergeCell ref="S49:S50"/>
    <mergeCell ref="C45:C46"/>
    <mergeCell ref="D45:D46"/>
    <mergeCell ref="E45:E46"/>
    <mergeCell ref="F45:F46"/>
    <mergeCell ref="X43:X44"/>
    <mergeCell ref="Y43:Y44"/>
    <mergeCell ref="Y45:Y46"/>
    <mergeCell ref="N43:N44"/>
    <mergeCell ref="O43:O44"/>
    <mergeCell ref="P43:P44"/>
    <mergeCell ref="Q43:Q44"/>
    <mergeCell ref="J43:J44"/>
    <mergeCell ref="K43:K44"/>
    <mergeCell ref="L43:L44"/>
    <mergeCell ref="M43:M44"/>
    <mergeCell ref="C43:C44"/>
    <mergeCell ref="D43:D44"/>
    <mergeCell ref="E43:E44"/>
    <mergeCell ref="F43:F44"/>
    <mergeCell ref="G43:G44"/>
    <mergeCell ref="H43:H44"/>
    <mergeCell ref="I43:I44"/>
    <mergeCell ref="R43:R44"/>
    <mergeCell ref="S43:S44"/>
    <mergeCell ref="C39:C40"/>
    <mergeCell ref="D39:D40"/>
    <mergeCell ref="E39:E40"/>
    <mergeCell ref="F39:F40"/>
    <mergeCell ref="X37:X38"/>
    <mergeCell ref="Y37:Y38"/>
    <mergeCell ref="Y39:Y40"/>
    <mergeCell ref="N37:N38"/>
    <mergeCell ref="O37:O38"/>
    <mergeCell ref="P37:P38"/>
    <mergeCell ref="Q37:Q38"/>
    <mergeCell ref="J37:J38"/>
    <mergeCell ref="K37:K38"/>
    <mergeCell ref="L37:L38"/>
    <mergeCell ref="M37:M38"/>
    <mergeCell ref="C37:C38"/>
    <mergeCell ref="D37:D38"/>
    <mergeCell ref="E37:E38"/>
    <mergeCell ref="F37:F38"/>
    <mergeCell ref="G37:G38"/>
    <mergeCell ref="H37:H38"/>
    <mergeCell ref="I37:I38"/>
    <mergeCell ref="R37:R38"/>
    <mergeCell ref="S37:S38"/>
    <mergeCell ref="C33:C34"/>
    <mergeCell ref="D33:D34"/>
    <mergeCell ref="E33:E34"/>
    <mergeCell ref="F33:F34"/>
    <mergeCell ref="X31:X32"/>
    <mergeCell ref="Y31:Y32"/>
    <mergeCell ref="Y33:Y34"/>
    <mergeCell ref="N31:N32"/>
    <mergeCell ref="O31:O32"/>
    <mergeCell ref="P31:P32"/>
    <mergeCell ref="Q31:Q32"/>
    <mergeCell ref="J31:J32"/>
    <mergeCell ref="K31:K32"/>
    <mergeCell ref="L31:L32"/>
    <mergeCell ref="M31:M32"/>
    <mergeCell ref="C31:C32"/>
    <mergeCell ref="D31:D32"/>
    <mergeCell ref="E31:E32"/>
    <mergeCell ref="F31:F32"/>
    <mergeCell ref="G31:G32"/>
    <mergeCell ref="H31:H32"/>
    <mergeCell ref="I31:I32"/>
    <mergeCell ref="R31:R32"/>
    <mergeCell ref="S31:S32"/>
    <mergeCell ref="C27:C28"/>
    <mergeCell ref="D27:D28"/>
    <mergeCell ref="E27:E28"/>
    <mergeCell ref="F27:F28"/>
    <mergeCell ref="X25:X26"/>
    <mergeCell ref="Y25:Y26"/>
    <mergeCell ref="Y27:Y28"/>
    <mergeCell ref="N25:N26"/>
    <mergeCell ref="O25:O26"/>
    <mergeCell ref="P25:P26"/>
    <mergeCell ref="Q25:Q26"/>
    <mergeCell ref="J25:J26"/>
    <mergeCell ref="K25:K26"/>
    <mergeCell ref="L25:L26"/>
    <mergeCell ref="M25:M26"/>
    <mergeCell ref="C25:C26"/>
    <mergeCell ref="D25:D26"/>
    <mergeCell ref="E25:E26"/>
    <mergeCell ref="F25:F26"/>
    <mergeCell ref="G25:G26"/>
    <mergeCell ref="H25:H26"/>
    <mergeCell ref="I25:I26"/>
    <mergeCell ref="R25:R26"/>
    <mergeCell ref="S25:S26"/>
    <mergeCell ref="C21:C22"/>
    <mergeCell ref="D21:D22"/>
    <mergeCell ref="E21:E22"/>
    <mergeCell ref="F21:F22"/>
    <mergeCell ref="X19:X20"/>
    <mergeCell ref="Y19:Y20"/>
    <mergeCell ref="Y21:Y22"/>
    <mergeCell ref="N19:N20"/>
    <mergeCell ref="O19:O20"/>
    <mergeCell ref="P19:P20"/>
    <mergeCell ref="Q19:Q20"/>
    <mergeCell ref="J19:J20"/>
    <mergeCell ref="K19:K20"/>
    <mergeCell ref="L19:L20"/>
    <mergeCell ref="M19:M20"/>
    <mergeCell ref="C19:C20"/>
    <mergeCell ref="D19:D20"/>
    <mergeCell ref="E19:E20"/>
    <mergeCell ref="F19:F20"/>
    <mergeCell ref="G19:G20"/>
    <mergeCell ref="H19:H20"/>
    <mergeCell ref="I19:I20"/>
    <mergeCell ref="G21:G22"/>
    <mergeCell ref="H21:H22"/>
    <mergeCell ref="A1:Y1"/>
    <mergeCell ref="A2:Y2"/>
    <mergeCell ref="A3:D3"/>
    <mergeCell ref="E3:Q3"/>
    <mergeCell ref="R3:V3"/>
    <mergeCell ref="W3:Y3"/>
    <mergeCell ref="R6:V6"/>
    <mergeCell ref="A4:Y4"/>
    <mergeCell ref="A5:A6"/>
    <mergeCell ref="B5:B6"/>
    <mergeCell ref="C5:I5"/>
    <mergeCell ref="J5:P5"/>
    <mergeCell ref="Q5:W5"/>
    <mergeCell ref="X5:X6"/>
    <mergeCell ref="Y5:Y6"/>
    <mergeCell ref="D6:H6"/>
    <mergeCell ref="K6:O6"/>
    <mergeCell ref="Q9:Q10"/>
    <mergeCell ref="R9:R10"/>
    <mergeCell ref="S9:S10"/>
    <mergeCell ref="T9:T10"/>
    <mergeCell ref="N9:N10"/>
    <mergeCell ref="O9:O10"/>
    <mergeCell ref="P9:P10"/>
    <mergeCell ref="P11:P12"/>
    <mergeCell ref="M7:M8"/>
  </mergeCells>
  <pageMargins left="0.43" right="0.11" top="0.22" bottom="0.3" header="0.16" footer="0.16"/>
  <pageSetup paperSize="9" orientation="portrait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7"/>
  <dimension ref="A1:W65"/>
  <sheetViews>
    <sheetView showGridLines="0" showZeros="0" zoomScale="80" zoomScaleNormal="80" workbookViewId="0">
      <selection activeCell="Z33" sqref="Z33"/>
    </sheetView>
  </sheetViews>
  <sheetFormatPr defaultColWidth="9.1796875" defaultRowHeight="13"/>
  <cols>
    <col min="1" max="1" width="1.26953125" style="419" customWidth="1"/>
    <col min="2" max="2" width="19" style="427" customWidth="1"/>
    <col min="3" max="3" width="3.453125" style="428" customWidth="1"/>
    <col min="4" max="5" width="1" style="407" customWidth="1"/>
    <col min="6" max="6" width="1.26953125" style="409" customWidth="1"/>
    <col min="7" max="7" width="19" style="427" customWidth="1"/>
    <col min="8" max="8" width="3.453125" style="428" customWidth="1"/>
    <col min="9" max="10" width="1" style="407" customWidth="1"/>
    <col min="11" max="11" width="1.26953125" style="409" customWidth="1"/>
    <col min="12" max="12" width="19" style="427" customWidth="1"/>
    <col min="13" max="13" width="3.453125" style="428" customWidth="1"/>
    <col min="14" max="15" width="1" style="407" customWidth="1"/>
    <col min="16" max="16" width="1.26953125" style="409" customWidth="1"/>
    <col min="17" max="17" width="19" style="427" customWidth="1"/>
    <col min="18" max="18" width="0.1796875" style="407" customWidth="1"/>
    <col min="19" max="20" width="1" style="407" customWidth="1"/>
    <col min="21" max="21" width="1.26953125" style="409" customWidth="1"/>
    <col min="22" max="22" width="15.26953125" style="407" customWidth="1"/>
    <col min="23" max="23" width="0.1796875" style="407" customWidth="1"/>
    <col min="24" max="16384" width="9.1796875" style="407"/>
  </cols>
  <sheetData>
    <row r="1" spans="1:22" ht="15.75" customHeight="1">
      <c r="A1" s="721" t="str">
        <f>Регистрация!A1</f>
        <v xml:space="preserve"> Межмуниципальные соревнования по всестилевому каратэ "Первый старт" 27 сентября 2025 г.</v>
      </c>
      <c r="B1" s="721"/>
      <c r="C1" s="721"/>
      <c r="D1" s="721"/>
      <c r="E1" s="721"/>
      <c r="F1" s="721"/>
      <c r="G1" s="721"/>
      <c r="H1" s="721"/>
      <c r="I1" s="721"/>
      <c r="J1" s="721"/>
      <c r="K1" s="721"/>
      <c r="L1" s="721"/>
      <c r="M1" s="721"/>
      <c r="N1" s="721"/>
      <c r="O1" s="721"/>
      <c r="P1" s="721"/>
      <c r="Q1" s="721"/>
      <c r="R1" s="448"/>
      <c r="S1" s="448"/>
      <c r="T1" s="448"/>
      <c r="U1" s="448"/>
      <c r="V1" s="448"/>
    </row>
    <row r="2" spans="1:22" ht="20.25" customHeight="1">
      <c r="A2" s="722" t="str">
        <f>Регистрация!A2</f>
        <v>Вид спорта: ВСЕСТИЛЕВОЕ КАРАТЭ (номер-код вида спорта - 0900001411Я)</v>
      </c>
      <c r="B2" s="722"/>
      <c r="C2" s="722"/>
      <c r="D2" s="722"/>
      <c r="E2" s="722"/>
      <c r="F2" s="722"/>
      <c r="G2" s="722"/>
      <c r="H2" s="722"/>
      <c r="I2" s="722"/>
      <c r="J2" s="722"/>
      <c r="K2" s="722"/>
      <c r="L2" s="722"/>
      <c r="M2" s="722"/>
      <c r="N2" s="722"/>
      <c r="O2" s="722"/>
      <c r="P2" s="722"/>
      <c r="Q2" s="722"/>
      <c r="R2" s="449"/>
      <c r="S2" s="449"/>
      <c r="T2" s="449"/>
      <c r="U2" s="449"/>
      <c r="V2" s="449"/>
    </row>
    <row r="3" spans="1:22" ht="17.25" customHeight="1">
      <c r="A3" s="728" t="str">
        <f>Регистрация!A3</f>
        <v>Женщины 18 +  ОК-двоеборье</v>
      </c>
      <c r="B3" s="728"/>
      <c r="C3" s="728"/>
      <c r="D3" s="728"/>
      <c r="E3" s="728"/>
      <c r="F3" s="728"/>
      <c r="G3" s="728"/>
      <c r="H3" s="729" t="str">
        <f>Регистрация!G3</f>
        <v>г. Санкт-Петербург</v>
      </c>
      <c r="I3" s="729"/>
      <c r="J3" s="729"/>
      <c r="K3" s="729"/>
      <c r="L3" s="729"/>
      <c r="M3" s="729"/>
      <c r="N3" s="729"/>
      <c r="O3" s="729"/>
      <c r="P3" s="729"/>
      <c r="Q3" s="729"/>
      <c r="R3" s="436"/>
      <c r="S3" s="436"/>
      <c r="T3" s="436"/>
      <c r="U3" s="436"/>
      <c r="V3" s="436"/>
    </row>
    <row r="4" spans="1:22" ht="12" customHeight="1">
      <c r="A4" s="408"/>
      <c r="B4" s="436"/>
      <c r="C4" s="436"/>
      <c r="D4" s="408"/>
      <c r="E4" s="408"/>
      <c r="F4" s="408"/>
      <c r="G4" s="425"/>
      <c r="H4" s="426"/>
      <c r="I4" s="425"/>
      <c r="J4" s="425"/>
      <c r="K4" s="425"/>
      <c r="L4" s="730" t="str">
        <f>Регистрация!L3</f>
        <v>27 сентября 2025</v>
      </c>
      <c r="M4" s="725"/>
      <c r="N4" s="725"/>
      <c r="O4" s="725"/>
      <c r="P4" s="426" t="s">
        <v>45</v>
      </c>
      <c r="Q4" s="450">
        <f>Регистрация!N3</f>
        <v>0</v>
      </c>
      <c r="R4" s="426"/>
      <c r="S4" s="426"/>
      <c r="T4" s="426"/>
      <c r="U4" s="426"/>
      <c r="V4" s="426"/>
    </row>
    <row r="5" spans="1:22" ht="12" customHeight="1">
      <c r="A5" s="723" t="str">
        <f>IF(A6=0,"",VLOOKUP(A6,Регистрация!$B$7:$N$71,11,FALSE))</f>
        <v>Политех</v>
      </c>
      <c r="B5" s="724"/>
      <c r="C5" s="442"/>
      <c r="I5" s="427"/>
      <c r="J5" s="427"/>
      <c r="K5" s="427"/>
      <c r="N5" s="427"/>
      <c r="O5" s="427"/>
      <c r="P5" s="427"/>
      <c r="Q5" s="447"/>
      <c r="R5" s="427"/>
      <c r="S5" s="427"/>
      <c r="T5" s="427"/>
      <c r="U5" s="427"/>
      <c r="V5" s="447"/>
    </row>
    <row r="6" spans="1:22" ht="12" customHeight="1">
      <c r="A6" s="411">
        <v>1</v>
      </c>
      <c r="B6" s="437" t="str">
        <f>IF(A6=0,"",CONCATENATE(VLOOKUP(A6,Регистрация!$B$7:$N$71,3,FALSE)," ",VLOOKUP(A6,Регистрация!$B$7:$N$71,4,FALSE)))</f>
        <v>Сугралиева Арина</v>
      </c>
      <c r="C6" s="443"/>
      <c r="I6" s="427"/>
      <c r="J6" s="427"/>
      <c r="K6" s="427"/>
      <c r="N6" s="427"/>
      <c r="O6" s="427"/>
      <c r="P6" s="427"/>
      <c r="R6" s="427"/>
      <c r="S6" s="427"/>
      <c r="T6" s="427"/>
      <c r="U6" s="427"/>
      <c r="V6" s="427"/>
    </row>
    <row r="7" spans="1:22" ht="12" customHeight="1">
      <c r="A7" s="413">
        <v>2</v>
      </c>
      <c r="B7" s="438" t="str">
        <f>IF(A7=0,"",CONCATENATE(VLOOKUP(A7,Регистрация!$B$7:$N$71,3,FALSE)," ",VLOOKUP(A7,Регистрация!$B$7:$N$71,4,FALSE)))</f>
        <v>Хохлова Элина</v>
      </c>
      <c r="C7" s="444"/>
      <c r="U7" s="407"/>
    </row>
    <row r="8" spans="1:22" ht="12" customHeight="1">
      <c r="A8" s="413">
        <v>3</v>
      </c>
      <c r="B8" s="439" t="str">
        <f>IF(A8=0,"",CONCATENATE(VLOOKUP(A8,Регистрация!$B$7:$N$71,3,FALSE)," ",VLOOKUP(A8,Регистрация!$B$7:$N$71,4,FALSE)))</f>
        <v>Паранина Полина</v>
      </c>
      <c r="C8" s="444"/>
      <c r="D8" s="716"/>
      <c r="E8" s="717"/>
      <c r="F8" s="726" t="str">
        <f>IF(F9=0,"",VLOOKUP(F9,Регистрация!$B$7:$N$71,11,FALSE))</f>
        <v/>
      </c>
      <c r="G8" s="724"/>
      <c r="H8" s="442"/>
      <c r="U8" s="407"/>
    </row>
    <row r="9" spans="1:22" ht="12" customHeight="1">
      <c r="A9" s="416">
        <v>4</v>
      </c>
      <c r="B9" s="440" t="str">
        <f>IF(A9=0,"",CONCATENATE(VLOOKUP(A9,Регистрация!$B$7:$N$71,3,FALSE)," ",VLOOKUP(A9,Регистрация!$B$7:$N$71,4,FALSE)))</f>
        <v>Шайдулина Алина</v>
      </c>
      <c r="C9" s="445"/>
      <c r="D9" s="716"/>
      <c r="E9" s="717"/>
      <c r="F9" s="453"/>
      <c r="G9" s="437" t="str">
        <f>IF(F9=0,"",CONCATENATE(VLOOKUP(F9,Регистрация!$B$7:$N$71,3,FALSE)," ",VLOOKUP(F9,Регистрация!$B$7:$N$71,4,FALSE)))</f>
        <v/>
      </c>
      <c r="H9" s="443"/>
    </row>
    <row r="10" spans="1:22" ht="12" customHeight="1">
      <c r="E10" s="418"/>
      <c r="F10" s="454"/>
      <c r="G10" s="438" t="str">
        <f>IF(F10=0,"",CONCATENATE(VLOOKUP(F10,Регистрация!$B$7:$N$71,3,FALSE)," ",VLOOKUP(F10,Регистрация!$B$7:$N$71,4,FALSE)))</f>
        <v/>
      </c>
      <c r="H10" s="444"/>
      <c r="I10" s="456"/>
      <c r="U10" s="410"/>
    </row>
    <row r="11" spans="1:22" ht="12" customHeight="1">
      <c r="A11" s="723">
        <f>IF(A12=0,"",VLOOKUP(A12,Регистрация!$B$7:$N$71,11,FALSE))</f>
        <v>0</v>
      </c>
      <c r="B11" s="724"/>
      <c r="C11" s="442"/>
      <c r="D11" s="718"/>
      <c r="E11" s="719"/>
      <c r="F11" s="454"/>
      <c r="G11" s="439" t="str">
        <f>IF(F11=0,"",CONCATENATE(VLOOKUP(F11,Регистрация!$B$7:$N$71,3,FALSE)," ",VLOOKUP(F11,Регистрация!$B$7:$N$71,4,FALSE)))</f>
        <v/>
      </c>
      <c r="H11" s="444"/>
      <c r="I11" s="720"/>
      <c r="J11" s="720"/>
    </row>
    <row r="12" spans="1:22" ht="12" customHeight="1">
      <c r="A12" s="411">
        <v>17</v>
      </c>
      <c r="B12" s="437" t="str">
        <f>IF(A12=0,"",CONCATENATE(VLOOKUP(A12,Регистрация!$B$7:$N$71,3,FALSE)," ",VLOOKUP(A12,Регистрация!$B$7:$N$71,4,FALSE)))</f>
        <v xml:space="preserve"> </v>
      </c>
      <c r="C12" s="443"/>
      <c r="D12" s="718"/>
      <c r="E12" s="719"/>
      <c r="F12" s="455"/>
      <c r="G12" s="440" t="str">
        <f>IF(F12=0,"",CONCATENATE(VLOOKUP(F12,Регистрация!$B$7:$N$71,3,FALSE)," ",VLOOKUP(F12,Регистрация!$B$7:$N$71,4,FALSE)))</f>
        <v/>
      </c>
      <c r="H12" s="445"/>
      <c r="I12" s="720"/>
      <c r="J12" s="720"/>
    </row>
    <row r="13" spans="1:22" ht="12" customHeight="1">
      <c r="A13" s="413">
        <v>18</v>
      </c>
      <c r="B13" s="438" t="str">
        <f>IF(A13=0,"",CONCATENATE(VLOOKUP(A13,Регистрация!$B$7:$N$71,3,FALSE)," ",VLOOKUP(A13,Регистрация!$B$7:$N$71,4,FALSE)))</f>
        <v xml:space="preserve"> </v>
      </c>
      <c r="C13" s="444"/>
      <c r="I13" s="720"/>
      <c r="J13" s="720"/>
    </row>
    <row r="14" spans="1:22" ht="12" customHeight="1">
      <c r="A14" s="413">
        <v>19</v>
      </c>
      <c r="B14" s="439" t="str">
        <f>IF(A14=0,"",CONCATENATE(VLOOKUP(A14,Регистрация!$B$7:$N$71,3,FALSE)," ",VLOOKUP(A14,Регистрация!$B$7:$N$71,4,FALSE)))</f>
        <v xml:space="preserve"> </v>
      </c>
      <c r="C14" s="444"/>
      <c r="I14" s="720"/>
      <c r="J14" s="720"/>
      <c r="K14" s="723" t="str">
        <f>IF(K15=0,"",VLOOKUP(K15,Регистрация!$B$7:$N$71,11,FALSE))</f>
        <v/>
      </c>
      <c r="L14" s="724"/>
      <c r="M14" s="442"/>
    </row>
    <row r="15" spans="1:22" ht="12" customHeight="1">
      <c r="A15" s="416">
        <v>20</v>
      </c>
      <c r="B15" s="440" t="str">
        <f>IF(A15=0,"",CONCATENATE(VLOOKUP(A15,Регистрация!$B$7:$N$71,3,FALSE)," ",VLOOKUP(A15,Регистрация!$B$7:$N$71,4,FALSE)))</f>
        <v xml:space="preserve"> </v>
      </c>
      <c r="C15" s="445"/>
      <c r="I15" s="720"/>
      <c r="J15" s="720"/>
      <c r="K15" s="411"/>
      <c r="L15" s="437" t="str">
        <f>IF(K15=0,"",CONCATENATE(VLOOKUP(K15,Регистрация!$B$7:$N$71,3,FALSE)," ",VLOOKUP(K15,Регистрация!$B$7:$N$71,4,FALSE)))</f>
        <v/>
      </c>
      <c r="M15" s="443"/>
    </row>
    <row r="16" spans="1:22" ht="12" customHeight="1">
      <c r="K16" s="413"/>
      <c r="L16" s="438" t="str">
        <f>IF(K16=0,"",CONCATENATE(VLOOKUP(K16,Регистрация!$B$7:$N$71,3,FALSE)," ",VLOOKUP(K16,Регистрация!$B$7:$N$71,4,FALSE)))</f>
        <v/>
      </c>
      <c r="M16" s="444"/>
    </row>
    <row r="17" spans="1:18" ht="12" customHeight="1">
      <c r="A17" s="723">
        <f>IF(A18=0,"",VLOOKUP(A18,Регистрация!$B$7:$N$71,11,FALSE))</f>
        <v>0</v>
      </c>
      <c r="B17" s="724"/>
      <c r="C17" s="442"/>
      <c r="I17" s="715"/>
      <c r="J17" s="715"/>
      <c r="K17" s="413"/>
      <c r="L17" s="439" t="str">
        <f>IF(K17=0,"",CONCATENATE(VLOOKUP(K17,Регистрация!$B$7:$N$71,3,FALSE)," ",VLOOKUP(K17,Регистрация!$B$7:$N$71,4,FALSE)))</f>
        <v/>
      </c>
      <c r="M17" s="444"/>
      <c r="N17" s="720"/>
      <c r="O17" s="720"/>
    </row>
    <row r="18" spans="1:18" ht="12" customHeight="1">
      <c r="A18" s="411">
        <v>9</v>
      </c>
      <c r="B18" s="437" t="str">
        <f>IF(A18=0,"",CONCATENATE(VLOOKUP(A18,Регистрация!$B$7:$N$71,3,FALSE)," ",VLOOKUP(A18,Регистрация!$B$7:$N$71,4,FALSE)))</f>
        <v xml:space="preserve"> </v>
      </c>
      <c r="C18" s="443"/>
      <c r="I18" s="715"/>
      <c r="J18" s="715"/>
      <c r="K18" s="416"/>
      <c r="L18" s="440" t="str">
        <f>IF(K18=0,"",CONCATENATE(VLOOKUP(K18,Регистрация!$B$7:$N$71,3,FALSE)," ",VLOOKUP(K18,Регистрация!$B$7:$N$71,4,FALSE)))</f>
        <v/>
      </c>
      <c r="M18" s="445"/>
      <c r="N18" s="720"/>
      <c r="O18" s="720"/>
    </row>
    <row r="19" spans="1:18" ht="12" customHeight="1">
      <c r="A19" s="413">
        <v>10</v>
      </c>
      <c r="B19" s="438" t="str">
        <f>IF(A19=0,"",CONCATENATE(VLOOKUP(A19,Регистрация!$B$7:$N$71,3,FALSE)," ",VLOOKUP(A19,Регистрация!$B$7:$N$71,4,FALSE)))</f>
        <v xml:space="preserve"> </v>
      </c>
      <c r="C19" s="444"/>
      <c r="I19" s="715"/>
      <c r="J19" s="715"/>
      <c r="N19" s="720"/>
      <c r="O19" s="720"/>
    </row>
    <row r="20" spans="1:18" ht="12" customHeight="1">
      <c r="A20" s="413">
        <v>11</v>
      </c>
      <c r="B20" s="439" t="str">
        <f>IF(A20=0,"",CONCATENATE(VLOOKUP(A20,Регистрация!$B$7:$N$71,3,FALSE)," ",VLOOKUP(A20,Регистрация!$B$7:$N$71,4,FALSE)))</f>
        <v xml:space="preserve"> </v>
      </c>
      <c r="C20" s="444"/>
      <c r="D20" s="716"/>
      <c r="E20" s="717"/>
      <c r="F20" s="723" t="str">
        <f>IF(F21=0,"",VLOOKUP(F21,Регистрация!$B$7:$N$71,11,FALSE))</f>
        <v/>
      </c>
      <c r="G20" s="724"/>
      <c r="H20" s="442"/>
      <c r="I20" s="715"/>
      <c r="J20" s="715"/>
      <c r="N20" s="720"/>
      <c r="O20" s="720"/>
    </row>
    <row r="21" spans="1:18" ht="12" customHeight="1">
      <c r="A21" s="416">
        <v>12</v>
      </c>
      <c r="B21" s="440" t="str">
        <f>IF(A21=0,"",CONCATENATE(VLOOKUP(A21,Регистрация!$B$7:$N$71,3,FALSE)," ",VLOOKUP(A21,Регистрация!$B$7:$N$71,4,FALSE)))</f>
        <v xml:space="preserve"> </v>
      </c>
      <c r="C21" s="445"/>
      <c r="D21" s="716"/>
      <c r="E21" s="717"/>
      <c r="F21" s="411"/>
      <c r="G21" s="437" t="str">
        <f>IF(F21=0,"",CONCATENATE(VLOOKUP(F21,Регистрация!$B$7:$N$71,3,FALSE)," ",VLOOKUP(F21,Регистрация!$B$7:$N$71,4,FALSE)))</f>
        <v/>
      </c>
      <c r="H21" s="443"/>
      <c r="I21" s="715"/>
      <c r="J21" s="715"/>
      <c r="N21" s="720"/>
      <c r="O21" s="720"/>
    </row>
    <row r="22" spans="1:18" ht="12" customHeight="1">
      <c r="E22" s="418"/>
      <c r="F22" s="413"/>
      <c r="G22" s="438" t="str">
        <f>IF(F22=0,"",CONCATENATE(VLOOKUP(F22,Регистрация!$B$7:$N$71,3,FALSE)," ",VLOOKUP(F22,Регистрация!$B$7:$N$71,4,FALSE)))</f>
        <v/>
      </c>
      <c r="H22" s="444"/>
      <c r="N22" s="720"/>
      <c r="O22" s="720"/>
    </row>
    <row r="23" spans="1:18" ht="12" customHeight="1">
      <c r="A23" s="723">
        <f>IF(A24=0,"",VLOOKUP(A24,Регистрация!$B$7:$N$71,11,FALSE))</f>
        <v>0</v>
      </c>
      <c r="B23" s="724"/>
      <c r="C23" s="442"/>
      <c r="D23" s="718"/>
      <c r="E23" s="719"/>
      <c r="F23" s="413"/>
      <c r="G23" s="439" t="str">
        <f>IF(F23=0,"",CONCATENATE(VLOOKUP(F23,Регистрация!$B$7:$N$71,3,FALSE)," ",VLOOKUP(F23,Регистрация!$B$7:$N$71,4,FALSE)))</f>
        <v/>
      </c>
      <c r="H23" s="444"/>
      <c r="I23" s="456"/>
      <c r="N23" s="720"/>
      <c r="O23" s="720"/>
    </row>
    <row r="24" spans="1:18" ht="12" customHeight="1">
      <c r="A24" s="411">
        <v>25</v>
      </c>
      <c r="B24" s="437" t="str">
        <f>IF(A24=0,"",CONCATENATE(VLOOKUP(A24,Регистрация!$B$7:$N$71,3,FALSE)," ",VLOOKUP(A24,Регистрация!$B$7:$N$71,4,FALSE)))</f>
        <v xml:space="preserve"> </v>
      </c>
      <c r="C24" s="443"/>
      <c r="D24" s="718"/>
      <c r="E24" s="719"/>
      <c r="F24" s="416"/>
      <c r="G24" s="440" t="str">
        <f>IF(F24=0,"",CONCATENATE(VLOOKUP(F24,Регистрация!$B$7:$N$71,3,FALSE)," ",VLOOKUP(F24,Регистрация!$B$7:$N$71,4,FALSE)))</f>
        <v/>
      </c>
      <c r="H24" s="445"/>
      <c r="N24" s="720"/>
      <c r="O24" s="720"/>
      <c r="Q24" s="731" t="s">
        <v>38</v>
      </c>
    </row>
    <row r="25" spans="1:18" ht="12" customHeight="1">
      <c r="A25" s="413">
        <v>26</v>
      </c>
      <c r="B25" s="438" t="str">
        <f>IF(A25=0,"",CONCATENATE(VLOOKUP(A25,Регистрация!$B$7:$N$71,3,FALSE)," ",VLOOKUP(A25,Регистрация!$B$7:$N$71,4,FALSE)))</f>
        <v xml:space="preserve"> </v>
      </c>
      <c r="C25" s="444"/>
      <c r="N25" s="720"/>
      <c r="O25" s="720"/>
      <c r="Q25" s="732"/>
    </row>
    <row r="26" spans="1:18" ht="12" customHeight="1">
      <c r="A26" s="413">
        <v>27</v>
      </c>
      <c r="B26" s="439" t="str">
        <f>IF(A26=0,"",CONCATENATE(VLOOKUP(A26,Регистрация!$B$7:$N$71,3,FALSE)," ",VLOOKUP(A26,Регистрация!$B$7:$N$71,4,FALSE)))</f>
        <v xml:space="preserve"> </v>
      </c>
      <c r="C26" s="444"/>
      <c r="N26" s="720"/>
      <c r="O26" s="720"/>
      <c r="P26" s="723" t="str">
        <f>IF(P27=0,"",VLOOKUP(P27,Регистрация!$B$7:$N$71,11,FALSE))</f>
        <v/>
      </c>
      <c r="Q26" s="724"/>
      <c r="R26" s="429"/>
    </row>
    <row r="27" spans="1:18" ht="12" customHeight="1">
      <c r="A27" s="416">
        <v>28</v>
      </c>
      <c r="B27" s="440" t="str">
        <f>IF(A27=0,"",CONCATENATE(VLOOKUP(A27,Регистрация!$B$7:$N$71,3,FALSE)," ",VLOOKUP(A27,Регистрация!$B$7:$N$71,4,FALSE)))</f>
        <v xml:space="preserve"> </v>
      </c>
      <c r="C27" s="445"/>
      <c r="N27" s="720"/>
      <c r="O27" s="720"/>
      <c r="P27" s="411"/>
      <c r="Q27" s="437" t="str">
        <f>IF(P27=0,"",CONCATENATE(VLOOKUP(P27,Регистрация!$B$7:$N$71,3,FALSE)," ",VLOOKUP(P27,Регистрация!$B$7:$N$71,4,FALSE)))</f>
        <v/>
      </c>
      <c r="R27" s="457"/>
    </row>
    <row r="28" spans="1:18" ht="12" customHeight="1">
      <c r="P28" s="413"/>
      <c r="Q28" s="438" t="str">
        <f>IF(P28=0,"",CONCATENATE(VLOOKUP(P28,Регистрация!$B$7:$N$71,3,FALSE)," ",VLOOKUP(P28,Регистрация!$B$7:$N$71,4,FALSE)))</f>
        <v/>
      </c>
      <c r="R28" s="458"/>
    </row>
    <row r="29" spans="1:18" ht="12" customHeight="1">
      <c r="A29" s="723" t="str">
        <f>IF(A30=0,"",VLOOKUP(A30,Регистрация!$B$7:$N$71,11,FALSE))</f>
        <v>Политех</v>
      </c>
      <c r="B29" s="724"/>
      <c r="C29" s="442"/>
      <c r="N29" s="715"/>
      <c r="O29" s="715"/>
      <c r="P29" s="413"/>
      <c r="Q29" s="439" t="str">
        <f>IF(P29=0,"",CONCATENATE(VLOOKUP(P29,Регистрация!$B$7:$N$71,3,FALSE)," ",VLOOKUP(P29,Регистрация!$B$7:$N$71,4,FALSE)))</f>
        <v/>
      </c>
      <c r="R29" s="458"/>
    </row>
    <row r="30" spans="1:18" ht="12" customHeight="1">
      <c r="A30" s="411">
        <v>5</v>
      </c>
      <c r="B30" s="437" t="str">
        <f>IF(A30=0,"",CONCATENATE(VLOOKUP(A30,Регистрация!$B$7:$N$71,3,FALSE)," ",VLOOKUP(A30,Регистрация!$B$7:$N$71,4,FALSE)))</f>
        <v>Носкова Александра</v>
      </c>
      <c r="C30" s="443"/>
      <c r="N30" s="715"/>
      <c r="O30" s="715"/>
      <c r="P30" s="416"/>
      <c r="Q30" s="440" t="str">
        <f>IF(P30=0,"",CONCATENATE(VLOOKUP(P30,Регистрация!$B$7:$N$71,3,FALSE)," ",VLOOKUP(P30,Регистрация!$B$7:$N$71,4,FALSE)))</f>
        <v/>
      </c>
      <c r="R30" s="459"/>
    </row>
    <row r="31" spans="1:18" ht="12" customHeight="1">
      <c r="A31" s="413">
        <v>6</v>
      </c>
      <c r="B31" s="438" t="str">
        <f>IF(A31=0,"",CONCATENATE(VLOOKUP(A31,Регистрация!$B$7:$N$71,3,FALSE)," ",VLOOKUP(A31,Регистрация!$B$7:$N$71,4,FALSE)))</f>
        <v>Павлова Мария</v>
      </c>
      <c r="C31" s="444"/>
      <c r="N31" s="715"/>
      <c r="O31" s="715"/>
    </row>
    <row r="32" spans="1:18" ht="12" customHeight="1">
      <c r="A32" s="413">
        <v>7</v>
      </c>
      <c r="B32" s="439" t="str">
        <f>IF(A32=0,"",CONCATENATE(VLOOKUP(A32,Регистрация!$B$7:$N$71,3,FALSE)," ",VLOOKUP(A32,Регистрация!$B$7:$N$71,4,FALSE)))</f>
        <v xml:space="preserve"> </v>
      </c>
      <c r="C32" s="444"/>
      <c r="D32" s="716"/>
      <c r="E32" s="717"/>
      <c r="F32" s="723" t="str">
        <f>IF(F33=0,"",VLOOKUP(F33,Регистрация!$B$7:$N$71,11,FALSE))</f>
        <v/>
      </c>
      <c r="G32" s="724"/>
      <c r="H32" s="442"/>
      <c r="N32" s="715"/>
      <c r="O32" s="715"/>
    </row>
    <row r="33" spans="1:23" ht="12" customHeight="1">
      <c r="A33" s="416">
        <v>8</v>
      </c>
      <c r="B33" s="440" t="str">
        <f>IF(A33=0,"",CONCATENATE(VLOOKUP(A33,Регистрация!$B$7:$N$71,3,FALSE)," ",VLOOKUP(A33,Регистрация!$B$7:$N$71,4,FALSE)))</f>
        <v xml:space="preserve"> </v>
      </c>
      <c r="C33" s="445"/>
      <c r="D33" s="716"/>
      <c r="E33" s="717"/>
      <c r="F33" s="411"/>
      <c r="G33" s="437" t="str">
        <f>IF(F33=0,"",CONCATENATE(VLOOKUP(F33,Регистрация!$B$7:$N$71,3,FALSE)," ",VLOOKUP(F33,Регистрация!$B$7:$N$71,4,FALSE)))</f>
        <v/>
      </c>
      <c r="H33" s="443"/>
      <c r="N33" s="715"/>
      <c r="O33" s="715"/>
    </row>
    <row r="34" spans="1:23" ht="12" customHeight="1">
      <c r="E34" s="418"/>
      <c r="F34" s="413"/>
      <c r="G34" s="438" t="str">
        <f>IF(F34=0,"",CONCATENATE(VLOOKUP(F34,Регистрация!$B$7:$N$71,3,FALSE)," ",VLOOKUP(F34,Регистрация!$B$7:$N$71,4,FALSE)))</f>
        <v/>
      </c>
      <c r="H34" s="444"/>
      <c r="I34" s="456"/>
      <c r="N34" s="715"/>
      <c r="O34" s="715"/>
    </row>
    <row r="35" spans="1:23" ht="12" customHeight="1">
      <c r="A35" s="723">
        <f>IF(A36=0,"",VLOOKUP(A36,Регистрация!$B$7:$N$71,11,FALSE))</f>
        <v>0</v>
      </c>
      <c r="B35" s="724"/>
      <c r="C35" s="442"/>
      <c r="D35" s="718"/>
      <c r="E35" s="719"/>
      <c r="F35" s="413"/>
      <c r="G35" s="439" t="str">
        <f>IF(F35=0,"",CONCATENATE(VLOOKUP(F35,Регистрация!$B$7:$N$71,3,FALSE)," ",VLOOKUP(F35,Регистрация!$B$7:$N$71,4,FALSE)))</f>
        <v/>
      </c>
      <c r="H35" s="444"/>
      <c r="I35" s="720"/>
      <c r="J35" s="720"/>
      <c r="N35" s="715"/>
      <c r="O35" s="715"/>
    </row>
    <row r="36" spans="1:23" ht="12" customHeight="1">
      <c r="A36" s="411">
        <v>21</v>
      </c>
      <c r="B36" s="437" t="str">
        <f>IF(A36=0,"",CONCATENATE(VLOOKUP(A36,Регистрация!$B$7:$N$71,3,FALSE)," ",VLOOKUP(A36,Регистрация!$B$7:$N$71,4,FALSE)))</f>
        <v xml:space="preserve"> </v>
      </c>
      <c r="C36" s="443"/>
      <c r="D36" s="718"/>
      <c r="E36" s="719"/>
      <c r="F36" s="416"/>
      <c r="G36" s="440" t="str">
        <f>IF(F36=0,"",CONCATENATE(VLOOKUP(F36,Регистрация!$B$7:$N$71,3,FALSE)," ",VLOOKUP(F36,Регистрация!$B$7:$N$71,4,FALSE)))</f>
        <v/>
      </c>
      <c r="H36" s="445"/>
      <c r="I36" s="720"/>
      <c r="J36" s="720"/>
      <c r="N36" s="715"/>
      <c r="O36" s="715"/>
    </row>
    <row r="37" spans="1:23" ht="12" customHeight="1">
      <c r="A37" s="413">
        <v>22</v>
      </c>
      <c r="B37" s="438" t="str">
        <f>IF(A37=0,"",CONCATENATE(VLOOKUP(A37,Регистрация!$B$7:$N$71,3,FALSE)," ",VLOOKUP(A37,Регистрация!$B$7:$N$71,4,FALSE)))</f>
        <v xml:space="preserve"> </v>
      </c>
      <c r="C37" s="444"/>
      <c r="I37" s="720"/>
      <c r="J37" s="720"/>
      <c r="N37" s="715"/>
      <c r="O37" s="715"/>
    </row>
    <row r="38" spans="1:23" ht="12" customHeight="1">
      <c r="A38" s="413">
        <v>23</v>
      </c>
      <c r="B38" s="439" t="str">
        <f>IF(A38=0,"",CONCATENATE(VLOOKUP(A38,Регистрация!$B$7:$N$71,3,FALSE)," ",VLOOKUP(A38,Регистрация!$B$7:$N$71,4,FALSE)))</f>
        <v xml:space="preserve"> </v>
      </c>
      <c r="C38" s="444"/>
      <c r="I38" s="720"/>
      <c r="J38" s="720"/>
      <c r="K38" s="723" t="str">
        <f>IF(K39=0,"",VLOOKUP(K39,Регистрация!$B$7:$N$71,11,FALSE))</f>
        <v/>
      </c>
      <c r="L38" s="724"/>
      <c r="M38" s="442"/>
      <c r="N38" s="715"/>
      <c r="O38" s="715"/>
    </row>
    <row r="39" spans="1:23" ht="12" customHeight="1">
      <c r="A39" s="416">
        <v>24</v>
      </c>
      <c r="B39" s="440" t="str">
        <f>IF(A39=0,"",CONCATENATE(VLOOKUP(A39,Регистрация!$B$7:$N$71,3,FALSE)," ",VLOOKUP(A39,Регистрация!$B$7:$N$71,4,FALSE)))</f>
        <v xml:space="preserve"> </v>
      </c>
      <c r="C39" s="445"/>
      <c r="I39" s="720"/>
      <c r="J39" s="720"/>
      <c r="K39" s="411"/>
      <c r="L39" s="437" t="str">
        <f>IF(K39=0,"",CONCATENATE(VLOOKUP(K39,Регистрация!$B$7:$N$71,3,FALSE)," ",VLOOKUP(K39,Регистрация!$B$7:$N$71,4,FALSE)))</f>
        <v/>
      </c>
      <c r="M39" s="443"/>
      <c r="N39" s="715"/>
      <c r="O39" s="715"/>
    </row>
    <row r="40" spans="1:23" ht="12" customHeight="1">
      <c r="K40" s="413"/>
      <c r="L40" s="438" t="str">
        <f>IF(K40=0,"",CONCATENATE(VLOOKUP(K40,Регистрация!$B$7:$N$71,3,FALSE)," ",VLOOKUP(K40,Регистрация!$B$7:$N$71,4,FALSE)))</f>
        <v/>
      </c>
      <c r="M40" s="444"/>
    </row>
    <row r="41" spans="1:23" ht="12" customHeight="1">
      <c r="A41" s="723">
        <f>IF(A42=0,"",VLOOKUP(A42,Регистрация!$B$7:$N$71,11,FALSE))</f>
        <v>0</v>
      </c>
      <c r="B41" s="724"/>
      <c r="C41" s="442"/>
      <c r="I41" s="715"/>
      <c r="J41" s="715"/>
      <c r="K41" s="413"/>
      <c r="L41" s="439" t="str">
        <f>IF(K41=0,"",CONCATENATE(VLOOKUP(K41,Регистрация!$B$7:$N$71,3,FALSE)," ",VLOOKUP(K41,Регистрация!$B$7:$N$71,4,FALSE)))</f>
        <v/>
      </c>
      <c r="M41" s="444"/>
      <c r="N41" s="456"/>
    </row>
    <row r="42" spans="1:23" ht="12" customHeight="1">
      <c r="A42" s="411">
        <v>13</v>
      </c>
      <c r="B42" s="437" t="str">
        <f>IF(A42=0,"",CONCATENATE(VLOOKUP(A42,Регистрация!$B$7:$N$71,3,FALSE)," ",VLOOKUP(A42,Регистрация!$B$7:$N$71,4,FALSE)))</f>
        <v xml:space="preserve"> </v>
      </c>
      <c r="C42" s="443"/>
      <c r="I42" s="715"/>
      <c r="J42" s="715"/>
      <c r="K42" s="416"/>
      <c r="L42" s="440" t="str">
        <f>IF(K42=0,"",CONCATENATE(VLOOKUP(K42,Регистрация!$B$7:$N$71,3,FALSE)," ",VLOOKUP(K42,Регистрация!$B$7:$N$71,4,FALSE)))</f>
        <v/>
      </c>
      <c r="M42" s="445"/>
    </row>
    <row r="43" spans="1:23" ht="12" customHeight="1">
      <c r="A43" s="413">
        <v>14</v>
      </c>
      <c r="B43" s="438" t="str">
        <f>IF(A43=0,"",CONCATENATE(VLOOKUP(A43,Регистрация!$B$7:$N$71,3,FALSE)," ",VLOOKUP(A43,Регистрация!$B$7:$N$71,4,FALSE)))</f>
        <v xml:space="preserve"> </v>
      </c>
      <c r="C43" s="444"/>
      <c r="I43" s="715"/>
      <c r="J43" s="715"/>
    </row>
    <row r="44" spans="1:23" ht="12" customHeight="1">
      <c r="A44" s="413">
        <v>15</v>
      </c>
      <c r="B44" s="439" t="str">
        <f>IF(A44=0,"",CONCATENATE(VLOOKUP(A44,Регистрация!$B$7:$N$71,3,FALSE)," ",VLOOKUP(A44,Регистрация!$B$7:$N$71,4,FALSE)))</f>
        <v xml:space="preserve"> </v>
      </c>
      <c r="C44" s="444"/>
      <c r="D44" s="716"/>
      <c r="E44" s="717"/>
      <c r="F44" s="723" t="str">
        <f>IF(F45=0,"",VLOOKUP(F45,Регистрация!$B$7:$N$71,11,FALSE))</f>
        <v/>
      </c>
      <c r="G44" s="724"/>
      <c r="H44" s="442"/>
      <c r="I44" s="715"/>
      <c r="J44" s="715"/>
      <c r="P44" s="433"/>
      <c r="Q44" s="433"/>
      <c r="R44" s="434"/>
      <c r="W44" s="410"/>
    </row>
    <row r="45" spans="1:23" ht="12" customHeight="1">
      <c r="A45" s="416">
        <v>16</v>
      </c>
      <c r="B45" s="440" t="str">
        <f>IF(A45=0,"",CONCATENATE(VLOOKUP(A45,Регистрация!$B$7:$N$71,3,FALSE)," ",VLOOKUP(A45,Регистрация!$B$7:$N$71,4,FALSE)))</f>
        <v xml:space="preserve"> </v>
      </c>
      <c r="C45" s="445"/>
      <c r="D45" s="716"/>
      <c r="E45" s="717"/>
      <c r="F45" s="411"/>
      <c r="G45" s="437" t="str">
        <f>IF(F45=0,"",CONCATENATE(VLOOKUP(F45,Регистрация!$B$7:$N$71,3,FALSE)," ",VLOOKUP(F45,Регистрация!$B$7:$N$71,4,FALSE)))</f>
        <v/>
      </c>
      <c r="H45" s="443"/>
      <c r="I45" s="715"/>
      <c r="J45" s="715"/>
      <c r="P45" s="419"/>
      <c r="R45" s="435"/>
      <c r="W45" s="410"/>
    </row>
    <row r="46" spans="1:23" ht="12" customHeight="1">
      <c r="E46" s="418"/>
      <c r="F46" s="413"/>
      <c r="G46" s="438" t="str">
        <f>IF(F46=0,"",CONCATENATE(VLOOKUP(F46,Регистрация!$B$7:$N$71,3,FALSE)," ",VLOOKUP(F46,Регистрация!$B$7:$N$71,4,FALSE)))</f>
        <v/>
      </c>
      <c r="H46" s="444"/>
      <c r="P46" s="419"/>
      <c r="R46" s="435"/>
      <c r="W46" s="410"/>
    </row>
    <row r="47" spans="1:23" ht="12" customHeight="1">
      <c r="A47" s="723">
        <f>IF(A48=0,"",VLOOKUP(A48,Регистрация!$B$7:$N$71,11,FALSE))</f>
        <v>0</v>
      </c>
      <c r="B47" s="724"/>
      <c r="C47" s="442"/>
      <c r="D47" s="718"/>
      <c r="E47" s="719"/>
      <c r="F47" s="413"/>
      <c r="G47" s="439" t="str">
        <f>IF(F47=0,"",CONCATENATE(VLOOKUP(F47,Регистрация!$B$7:$N$71,3,FALSE)," ",VLOOKUP(F47,Регистрация!$B$7:$N$71,4,FALSE)))</f>
        <v/>
      </c>
      <c r="H47" s="444"/>
      <c r="I47" s="456"/>
      <c r="P47" s="419"/>
      <c r="R47" s="435"/>
      <c r="U47" s="433"/>
      <c r="V47" s="433"/>
      <c r="W47" s="434"/>
    </row>
    <row r="48" spans="1:23" ht="12" customHeight="1">
      <c r="A48" s="411">
        <v>29</v>
      </c>
      <c r="B48" s="437" t="str">
        <f>IF(A48=0,"",CONCATENATE(VLOOKUP(A48,Регистрация!$B$7:$N$71,3,FALSE)," ",VLOOKUP(A48,Регистрация!$B$7:$N$71,4,FALSE)))</f>
        <v xml:space="preserve"> </v>
      </c>
      <c r="C48" s="443"/>
      <c r="D48" s="718"/>
      <c r="E48" s="719"/>
      <c r="F48" s="416"/>
      <c r="G48" s="440" t="str">
        <f>IF(F48=0,"",CONCATENATE(VLOOKUP(F48,Регистрация!$B$7:$N$71,3,FALSE)," ",VLOOKUP(F48,Регистрация!$B$7:$N$71,4,FALSE)))</f>
        <v/>
      </c>
      <c r="H48" s="445"/>
      <c r="P48" s="419"/>
      <c r="R48" s="435"/>
      <c r="U48" s="419"/>
      <c r="W48" s="435"/>
    </row>
    <row r="49" spans="1:23" ht="12" customHeight="1">
      <c r="A49" s="413">
        <v>30</v>
      </c>
      <c r="B49" s="438" t="str">
        <f>IF(A49=0,"",CONCATENATE(VLOOKUP(A49,Регистрация!$B$7:$N$71,3,FALSE)," ",VLOOKUP(A49,Регистрация!$B$7:$N$71,4,FALSE)))</f>
        <v xml:space="preserve"> </v>
      </c>
      <c r="C49" s="444"/>
      <c r="M49" s="427"/>
      <c r="P49" s="419"/>
      <c r="R49" s="410"/>
      <c r="U49" s="419"/>
      <c r="W49" s="435"/>
    </row>
    <row r="50" spans="1:23" ht="12" customHeight="1">
      <c r="A50" s="413">
        <v>31</v>
      </c>
      <c r="B50" s="439" t="str">
        <f>IF(A50=0,"",CONCATENATE(VLOOKUP(A50,Регистрация!$B$7:$N$71,3,FALSE)," ",VLOOKUP(A50,Регистрация!$B$7:$N$71,4,FALSE)))</f>
        <v xml:space="preserve"> </v>
      </c>
      <c r="C50" s="444"/>
      <c r="K50" s="723" t="str">
        <f>IF(K51=0,"",VLOOKUP(K51,Регистрация!$B$7:$N$71,11,FALSE))</f>
        <v/>
      </c>
      <c r="L50" s="724"/>
      <c r="M50" s="442"/>
      <c r="R50" s="428"/>
      <c r="U50" s="419"/>
      <c r="W50" s="435"/>
    </row>
    <row r="51" spans="1:23" ht="12" customHeight="1">
      <c r="A51" s="416">
        <v>32</v>
      </c>
      <c r="B51" s="440" t="str">
        <f>IF(A51=0,"",CONCATENATE(VLOOKUP(A51,Регистрация!$B$7:$N$71,3,FALSE)," ",VLOOKUP(A51,Регистрация!$B$7:$N$71,4,FALSE)))</f>
        <v xml:space="preserve"> </v>
      </c>
      <c r="C51" s="445"/>
      <c r="K51" s="411"/>
      <c r="L51" s="437" t="str">
        <f>IF(K51=0,"",CONCATENATE(VLOOKUP(K51,Регистрация!$B$7:$N$71,3,FALSE)," ",VLOOKUP(K51,Регистрация!$B$7:$N$71,4,FALSE)))</f>
        <v/>
      </c>
      <c r="M51" s="443"/>
      <c r="Q51" s="731" t="s">
        <v>37</v>
      </c>
      <c r="R51" s="428"/>
      <c r="U51" s="419"/>
      <c r="W51" s="435"/>
    </row>
    <row r="52" spans="1:23" ht="12" customHeight="1">
      <c r="G52" s="436"/>
      <c r="H52" s="446"/>
      <c r="I52" s="421"/>
      <c r="J52" s="421"/>
      <c r="K52" s="413"/>
      <c r="L52" s="438" t="str">
        <f>IF(K52=0,"",CONCATENATE(VLOOKUP(K52,Регистрация!$B$7:$N$71,3,FALSE)," ",VLOOKUP(K52,Регистрация!$B$7:$N$71,4,FALSE)))</f>
        <v/>
      </c>
      <c r="M52" s="444"/>
      <c r="Q52" s="732"/>
      <c r="R52" s="428"/>
      <c r="W52" s="410"/>
    </row>
    <row r="53" spans="1:23" ht="12" customHeight="1">
      <c r="G53" s="436"/>
      <c r="H53" s="446"/>
      <c r="I53" s="421"/>
      <c r="J53" s="421"/>
      <c r="K53" s="413"/>
      <c r="L53" s="439" t="str">
        <f>IF(K53=0,"",CONCATENATE(VLOOKUP(K53,Регистрация!$B$7:$N$71,3,FALSE)," ",VLOOKUP(K53,Регистрация!$B$7:$N$71,4,FALSE)))</f>
        <v/>
      </c>
      <c r="M53" s="444"/>
      <c r="N53" s="716"/>
      <c r="O53" s="717"/>
      <c r="P53" s="723" t="str">
        <f>IF(P54=0,"",VLOOKUP(P54,Регистрация!$B$7:$N$71,11,FALSE))</f>
        <v/>
      </c>
      <c r="Q53" s="724"/>
      <c r="R53" s="442"/>
      <c r="W53" s="410"/>
    </row>
    <row r="54" spans="1:23" ht="12" customHeight="1">
      <c r="G54" s="436"/>
      <c r="H54" s="446"/>
      <c r="I54" s="421"/>
      <c r="J54" s="421"/>
      <c r="K54" s="416"/>
      <c r="L54" s="440" t="str">
        <f>IF(K54=0,"",CONCATENATE(VLOOKUP(K54,Регистрация!$B$7:$N$71,3,FALSE)," ",VLOOKUP(K54,Регистрация!$B$7:$N$71,4,FALSE)))</f>
        <v/>
      </c>
      <c r="M54" s="445"/>
      <c r="N54" s="716"/>
      <c r="O54" s="717"/>
      <c r="P54" s="411"/>
      <c r="Q54" s="437" t="str">
        <f>IF(P54=0,"",CONCATENATE(VLOOKUP(P54,Регистрация!$B$7:$N$71,3,FALSE)," ",VLOOKUP(P54,Регистрация!$B$7:$N$71,4,FALSE)))</f>
        <v/>
      </c>
      <c r="R54" s="443"/>
      <c r="W54" s="410"/>
    </row>
    <row r="55" spans="1:23" ht="12" customHeight="1">
      <c r="G55" s="436"/>
      <c r="H55" s="446"/>
      <c r="I55" s="421"/>
      <c r="J55" s="421"/>
      <c r="K55" s="419"/>
      <c r="O55" s="418"/>
      <c r="P55" s="413"/>
      <c r="Q55" s="438" t="str">
        <f>IF(P55=0,"",CONCATENATE(VLOOKUP(P55,Регистрация!$B$7:$N$71,3,FALSE)," ",VLOOKUP(P55,Регистрация!$B$7:$N$71,4,FALSE)))</f>
        <v/>
      </c>
      <c r="R55" s="444"/>
      <c r="S55" s="421"/>
      <c r="T55" s="421"/>
      <c r="U55" s="421"/>
      <c r="V55" s="421"/>
    </row>
    <row r="56" spans="1:23" ht="12" customHeight="1">
      <c r="G56" s="436"/>
      <c r="H56" s="446"/>
      <c r="I56" s="421"/>
      <c r="J56" s="421"/>
      <c r="K56" s="723" t="str">
        <f>IF(K57=0,"",VLOOKUP(K57,Регистрация!$B$7:$N$71,11,FALSE))</f>
        <v/>
      </c>
      <c r="L56" s="724"/>
      <c r="M56" s="442"/>
      <c r="N56" s="718"/>
      <c r="O56" s="719"/>
      <c r="P56" s="413"/>
      <c r="Q56" s="439" t="str">
        <f>IF(P56=0,"",CONCATENATE(VLOOKUP(P56,Регистрация!$B$7:$N$71,3,FALSE)," ",VLOOKUP(P56,Регистрация!$B$7:$N$71,4,FALSE)))</f>
        <v/>
      </c>
      <c r="R56" s="444"/>
      <c r="S56" s="421"/>
      <c r="T56" s="421"/>
      <c r="U56" s="421"/>
      <c r="V56" s="421"/>
    </row>
    <row r="57" spans="1:23" ht="12" customHeight="1">
      <c r="G57" s="436"/>
      <c r="H57" s="446"/>
      <c r="I57" s="421"/>
      <c r="J57" s="421"/>
      <c r="K57" s="411"/>
      <c r="L57" s="437" t="str">
        <f>IF(K57=0,"",CONCATENATE(VLOOKUP(K57,Регистрация!$B$7:$N$71,3,FALSE)," ",VLOOKUP(K57,Регистрация!$B$7:$N$71,4,FALSE)))</f>
        <v/>
      </c>
      <c r="M57" s="443"/>
      <c r="N57" s="718"/>
      <c r="O57" s="719"/>
      <c r="P57" s="416"/>
      <c r="Q57" s="440" t="str">
        <f>IF(P57=0,"",CONCATENATE(VLOOKUP(P57,Регистрация!$B$7:$N$71,3,FALSE)," ",VLOOKUP(P57,Регистрация!$B$7:$N$71,4,FALSE)))</f>
        <v/>
      </c>
      <c r="R57" s="445"/>
      <c r="S57" s="421"/>
      <c r="T57" s="421"/>
      <c r="U57" s="421"/>
      <c r="V57" s="421"/>
    </row>
    <row r="58" spans="1:23" ht="12" customHeight="1">
      <c r="G58" s="436"/>
      <c r="H58" s="446"/>
      <c r="I58" s="421"/>
      <c r="J58" s="421"/>
      <c r="K58" s="413"/>
      <c r="L58" s="438" t="str">
        <f>IF(K58=0,"",CONCATENATE(VLOOKUP(K58,Регистрация!$B$7:$N$71,3,FALSE)," ",VLOOKUP(K58,Регистрация!$B$7:$N$71,4,FALSE)))</f>
        <v/>
      </c>
      <c r="M58" s="444"/>
      <c r="R58" s="428"/>
      <c r="S58" s="421"/>
      <c r="T58" s="421"/>
      <c r="U58" s="421"/>
      <c r="V58" s="421"/>
    </row>
    <row r="59" spans="1:23" ht="12" customHeight="1">
      <c r="G59" s="436"/>
      <c r="H59" s="446"/>
      <c r="I59" s="421"/>
      <c r="J59" s="421"/>
      <c r="K59" s="413"/>
      <c r="L59" s="439" t="str">
        <f>IF(K59=0,"",CONCATENATE(VLOOKUP(K59,Регистрация!$B$7:$N$71,3,FALSE)," ",VLOOKUP(K59,Регистрация!$B$7:$N$71,4,FALSE)))</f>
        <v/>
      </c>
      <c r="M59" s="444"/>
      <c r="R59" s="428"/>
      <c r="S59" s="421"/>
      <c r="T59" s="421"/>
      <c r="U59" s="421"/>
      <c r="V59" s="421"/>
    </row>
    <row r="60" spans="1:23" ht="12" customHeight="1">
      <c r="G60" s="436"/>
      <c r="H60" s="446"/>
      <c r="I60" s="421"/>
      <c r="J60" s="421"/>
      <c r="K60" s="416"/>
      <c r="L60" s="440" t="str">
        <f>IF(K60=0,"",CONCATENATE(VLOOKUP(K60,Регистрация!$B$7:$N$71,3,FALSE)," ",VLOOKUP(K60,Регистрация!$B$7:$N$71,4,FALSE)))</f>
        <v/>
      </c>
      <c r="M60" s="445"/>
      <c r="R60" s="428"/>
      <c r="S60" s="421"/>
      <c r="T60" s="421"/>
      <c r="U60" s="421"/>
      <c r="V60" s="421"/>
    </row>
    <row r="61" spans="1:23">
      <c r="G61" s="436"/>
      <c r="H61" s="446"/>
      <c r="I61" s="421"/>
      <c r="J61" s="421"/>
      <c r="K61" s="421"/>
      <c r="L61" s="436"/>
      <c r="M61" s="446"/>
      <c r="N61" s="421"/>
      <c r="O61" s="421"/>
      <c r="P61" s="421"/>
      <c r="Q61" s="436"/>
      <c r="R61" s="421"/>
      <c r="S61" s="421"/>
      <c r="T61" s="421"/>
      <c r="U61" s="421"/>
      <c r="V61" s="421"/>
    </row>
    <row r="62" spans="1:23">
      <c r="G62" s="436"/>
      <c r="H62" s="446"/>
      <c r="I62" s="421"/>
      <c r="J62" s="421"/>
      <c r="K62" s="421"/>
      <c r="L62" s="436"/>
      <c r="M62" s="446"/>
      <c r="N62" s="421"/>
      <c r="O62" s="421"/>
      <c r="P62" s="421"/>
      <c r="Q62" s="436"/>
      <c r="R62" s="421"/>
      <c r="S62" s="421"/>
      <c r="T62" s="421"/>
      <c r="U62" s="421"/>
      <c r="V62" s="421"/>
    </row>
    <row r="63" spans="1:23">
      <c r="B63" s="725" t="str">
        <f>Регистрация!F73</f>
        <v>Главный судья:</v>
      </c>
      <c r="C63" s="725"/>
      <c r="D63" s="725"/>
      <c r="E63" s="725"/>
      <c r="F63" s="725"/>
      <c r="G63" s="441"/>
      <c r="H63" s="441"/>
      <c r="I63" s="441"/>
      <c r="J63" s="441"/>
      <c r="K63" s="441"/>
      <c r="L63" s="727" t="str">
        <f>Регистрация!N73</f>
        <v>Цыльев В.А. С1К</v>
      </c>
      <c r="M63" s="727"/>
      <c r="N63" s="727"/>
      <c r="O63" s="727"/>
      <c r="P63" s="727"/>
      <c r="Q63" s="727"/>
      <c r="R63" s="436"/>
      <c r="S63" s="436"/>
      <c r="T63" s="436"/>
      <c r="U63" s="436"/>
      <c r="V63" s="436"/>
    </row>
    <row r="64" spans="1:23">
      <c r="B64" s="436"/>
      <c r="C64" s="446"/>
      <c r="D64" s="451"/>
      <c r="E64" s="451"/>
      <c r="F64" s="452"/>
      <c r="G64" s="436"/>
      <c r="H64" s="446"/>
      <c r="I64" s="421"/>
      <c r="J64" s="421"/>
      <c r="K64" s="421"/>
      <c r="L64" s="436"/>
      <c r="M64" s="446"/>
      <c r="N64" s="421"/>
      <c r="O64" s="421"/>
      <c r="P64" s="421"/>
      <c r="Q64" s="436"/>
      <c r="R64" s="421"/>
      <c r="S64" s="421"/>
      <c r="T64" s="421"/>
      <c r="U64" s="421"/>
      <c r="V64" s="421"/>
    </row>
    <row r="65" spans="2:22" ht="22.5" customHeight="1">
      <c r="B65" s="725" t="str">
        <f>Регистрация!F74</f>
        <v>Главный секретерь:</v>
      </c>
      <c r="C65" s="725"/>
      <c r="D65" s="725"/>
      <c r="E65" s="725"/>
      <c r="F65" s="725"/>
      <c r="G65" s="423"/>
      <c r="H65" s="423"/>
      <c r="I65" s="423"/>
      <c r="J65" s="423"/>
      <c r="K65" s="423"/>
      <c r="L65" s="727" t="str">
        <f>Регистрация!N74</f>
        <v>Орлова Е.С 3 К</v>
      </c>
      <c r="M65" s="727"/>
      <c r="N65" s="727"/>
      <c r="O65" s="727"/>
      <c r="P65" s="727"/>
      <c r="Q65" s="727"/>
      <c r="R65" s="727"/>
      <c r="S65" s="408"/>
      <c r="T65" s="408"/>
      <c r="U65" s="408"/>
      <c r="V65" s="408"/>
    </row>
  </sheetData>
  <mergeCells count="45">
    <mergeCell ref="B65:F65"/>
    <mergeCell ref="L65:R65"/>
    <mergeCell ref="L63:Q63"/>
    <mergeCell ref="A3:G3"/>
    <mergeCell ref="H3:Q3"/>
    <mergeCell ref="L4:O4"/>
    <mergeCell ref="Q24:Q25"/>
    <mergeCell ref="Q51:Q52"/>
    <mergeCell ref="K50:L50"/>
    <mergeCell ref="F44:G44"/>
    <mergeCell ref="A47:B47"/>
    <mergeCell ref="P26:Q26"/>
    <mergeCell ref="A29:B29"/>
    <mergeCell ref="F32:G32"/>
    <mergeCell ref="A35:B35"/>
    <mergeCell ref="K38:L38"/>
    <mergeCell ref="A23:B23"/>
    <mergeCell ref="A5:B5"/>
    <mergeCell ref="P53:Q53"/>
    <mergeCell ref="K56:L56"/>
    <mergeCell ref="B63:F63"/>
    <mergeCell ref="A41:B41"/>
    <mergeCell ref="F8:G8"/>
    <mergeCell ref="A11:B11"/>
    <mergeCell ref="I11:J15"/>
    <mergeCell ref="I17:J21"/>
    <mergeCell ref="D23:E24"/>
    <mergeCell ref="D32:E33"/>
    <mergeCell ref="D35:E36"/>
    <mergeCell ref="D44:E45"/>
    <mergeCell ref="D47:E48"/>
    <mergeCell ref="I35:J39"/>
    <mergeCell ref="A1:Q1"/>
    <mergeCell ref="A2:Q2"/>
    <mergeCell ref="K14:L14"/>
    <mergeCell ref="A17:B17"/>
    <mergeCell ref="F20:G20"/>
    <mergeCell ref="D11:E12"/>
    <mergeCell ref="D8:E9"/>
    <mergeCell ref="D20:E21"/>
    <mergeCell ref="I41:J45"/>
    <mergeCell ref="N53:O54"/>
    <mergeCell ref="N56:O57"/>
    <mergeCell ref="N17:O27"/>
    <mergeCell ref="N29:O39"/>
  </mergeCells>
  <pageMargins left="0.47" right="0.11" top="0.26" bottom="0.25" header="0.16" footer="0.16"/>
  <pageSetup paperSize="9" orientation="portrait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8"/>
  <dimension ref="A1:W100"/>
  <sheetViews>
    <sheetView showGridLines="0" showZeros="0" zoomScale="80" zoomScaleNormal="80" workbookViewId="0">
      <selection activeCell="Q78" sqref="Q78"/>
    </sheetView>
  </sheetViews>
  <sheetFormatPr defaultColWidth="9.1796875" defaultRowHeight="10.5"/>
  <cols>
    <col min="1" max="1" width="1.26953125" style="419" customWidth="1"/>
    <col min="2" max="2" width="15.7265625" style="407" customWidth="1"/>
    <col min="3" max="3" width="2.453125" style="410" customWidth="1"/>
    <col min="4" max="5" width="0.453125" style="407" customWidth="1"/>
    <col min="6" max="6" width="1.26953125" style="409" customWidth="1"/>
    <col min="7" max="7" width="15.7265625" style="407" customWidth="1"/>
    <col min="8" max="8" width="2.453125" style="410" customWidth="1"/>
    <col min="9" max="10" width="0.54296875" style="407" customWidth="1"/>
    <col min="11" max="11" width="1.26953125" style="409" customWidth="1"/>
    <col min="12" max="12" width="15.7265625" style="407" customWidth="1"/>
    <col min="13" max="13" width="2.453125" style="410" customWidth="1"/>
    <col min="14" max="15" width="1" style="407" customWidth="1"/>
    <col min="16" max="16" width="1.26953125" style="409" customWidth="1"/>
    <col min="17" max="17" width="15.7265625" style="407" customWidth="1"/>
    <col min="18" max="18" width="2.453125" style="407" customWidth="1"/>
    <col min="19" max="20" width="0.54296875" style="407" customWidth="1"/>
    <col min="21" max="21" width="1.26953125" style="409" customWidth="1"/>
    <col min="22" max="22" width="15.7265625" style="407" customWidth="1"/>
    <col min="23" max="23" width="0.26953125" style="407" customWidth="1"/>
    <col min="24" max="16384" width="9.1796875" style="407"/>
  </cols>
  <sheetData>
    <row r="1" spans="1:22" ht="12.75" customHeight="1">
      <c r="A1" s="721" t="str">
        <f>Регистрация!A1</f>
        <v xml:space="preserve"> Межмуниципальные соревнования по всестилевому каратэ "Первый старт" 27 сентября 2025 г.</v>
      </c>
      <c r="B1" s="721"/>
      <c r="C1" s="721"/>
      <c r="D1" s="721"/>
      <c r="E1" s="721"/>
      <c r="F1" s="721"/>
      <c r="G1" s="721"/>
      <c r="H1" s="721"/>
      <c r="I1" s="721"/>
      <c r="J1" s="721"/>
      <c r="K1" s="721"/>
      <c r="L1" s="721"/>
      <c r="M1" s="721"/>
      <c r="N1" s="721"/>
      <c r="O1" s="721"/>
      <c r="P1" s="721"/>
      <c r="Q1" s="721"/>
      <c r="R1" s="721"/>
      <c r="S1" s="721"/>
      <c r="T1" s="721"/>
      <c r="U1" s="721"/>
      <c r="V1" s="721"/>
    </row>
    <row r="2" spans="1:22" ht="9" customHeight="1">
      <c r="A2" s="738" t="str">
        <f>Регистрация!A2</f>
        <v>Вид спорта: ВСЕСТИЛЕВОЕ КАРАТЭ (номер-код вида спорта - 0900001411Я)</v>
      </c>
      <c r="B2" s="738"/>
      <c r="C2" s="738"/>
      <c r="D2" s="738"/>
      <c r="E2" s="738"/>
      <c r="F2" s="738"/>
      <c r="G2" s="738"/>
      <c r="H2" s="738"/>
      <c r="I2" s="738"/>
      <c r="J2" s="738"/>
      <c r="K2" s="738"/>
      <c r="L2" s="738"/>
      <c r="M2" s="738"/>
      <c r="N2" s="738"/>
      <c r="O2" s="738"/>
      <c r="P2" s="738"/>
      <c r="Q2" s="738"/>
      <c r="R2" s="738"/>
      <c r="S2" s="738"/>
      <c r="T2" s="738"/>
      <c r="U2" s="738"/>
      <c r="V2" s="738"/>
    </row>
    <row r="3" spans="1:22" ht="13">
      <c r="A3" s="408"/>
      <c r="B3" s="421"/>
      <c r="C3" s="408"/>
      <c r="D3" s="408"/>
      <c r="E3" s="408"/>
      <c r="F3" s="408"/>
      <c r="G3" s="739" t="str">
        <f>Регистрация!A3</f>
        <v>Женщины 18 +  ОК-двоеборье</v>
      </c>
      <c r="H3" s="739"/>
      <c r="I3" s="739"/>
      <c r="J3" s="739"/>
      <c r="K3" s="739"/>
      <c r="L3" s="739"/>
      <c r="M3" s="739"/>
      <c r="N3" s="739"/>
      <c r="O3" s="739"/>
      <c r="P3" s="739"/>
      <c r="Q3" s="725" t="str">
        <f>Регистрация!G3</f>
        <v>г. Санкт-Петербург</v>
      </c>
      <c r="R3" s="725"/>
      <c r="S3" s="725"/>
      <c r="T3" s="725"/>
      <c r="U3" s="725"/>
      <c r="V3" s="725"/>
    </row>
    <row r="4" spans="1:22" ht="8.25" customHeight="1">
      <c r="A4" s="723" t="str">
        <f>IF(A5=0,"",VLOOKUP(A5,Регистрация!$B$7:$N$71,11,FALSE))</f>
        <v>Политех</v>
      </c>
      <c r="B4" s="726"/>
      <c r="C4" s="429"/>
      <c r="G4" s="427"/>
      <c r="H4" s="428"/>
      <c r="I4" s="427"/>
      <c r="J4" s="427"/>
      <c r="K4" s="427"/>
      <c r="L4" s="427"/>
      <c r="M4" s="428"/>
      <c r="N4" s="427"/>
      <c r="O4" s="427"/>
      <c r="P4" s="427"/>
      <c r="Q4" s="736" t="str">
        <f>Регистрация!L3</f>
        <v>27 сентября 2025</v>
      </c>
      <c r="R4" s="737"/>
      <c r="S4" s="737"/>
      <c r="T4" s="735" t="s">
        <v>45</v>
      </c>
      <c r="U4" s="735"/>
      <c r="V4" s="733">
        <f>Регистрация!N3</f>
        <v>0</v>
      </c>
    </row>
    <row r="5" spans="1:22" ht="8.25" customHeight="1">
      <c r="A5" s="411">
        <v>1</v>
      </c>
      <c r="B5" s="412" t="str">
        <f>IF(A5=0,"",CONCATENATE(VLOOKUP(A5,Регистрация!$B$7:$N$71,3,FALSE)," ",VLOOKUP(A5,Регистрация!$B$7:$N$71,4,FALSE)))</f>
        <v>Сугралиева Арина</v>
      </c>
      <c r="C5" s="430"/>
      <c r="G5" s="427"/>
      <c r="H5" s="428"/>
      <c r="I5" s="427"/>
      <c r="J5" s="427"/>
      <c r="K5" s="427"/>
      <c r="L5" s="427"/>
      <c r="M5" s="428"/>
      <c r="N5" s="427"/>
      <c r="O5" s="427"/>
      <c r="P5" s="427"/>
      <c r="Q5" s="737"/>
      <c r="R5" s="737"/>
      <c r="S5" s="737"/>
      <c r="T5" s="735"/>
      <c r="U5" s="735"/>
      <c r="V5" s="734"/>
    </row>
    <row r="6" spans="1:22" ht="8.25" customHeight="1">
      <c r="A6" s="413">
        <v>2</v>
      </c>
      <c r="B6" s="414" t="str">
        <f>IF(A6=0,"",CONCATENATE(VLOOKUP(A6,Регистрация!$B$7:$N$71,3,FALSE)," ",VLOOKUP(A6,Регистрация!$B$7:$N$71,4,FALSE)))</f>
        <v>Хохлова Элина</v>
      </c>
      <c r="C6" s="431"/>
      <c r="U6" s="407"/>
    </row>
    <row r="7" spans="1:22" ht="8.25" customHeight="1">
      <c r="A7" s="413">
        <v>3</v>
      </c>
      <c r="B7" s="415" t="str">
        <f>IF(A7=0,"",CONCATENATE(VLOOKUP(A7,Регистрация!$B$7:$N$71,3,FALSE)," ",VLOOKUP(A7,Регистрация!$B$7:$N$71,4,FALSE)))</f>
        <v>Паранина Полина</v>
      </c>
      <c r="C7" s="431"/>
      <c r="D7" s="716"/>
      <c r="E7" s="717"/>
      <c r="F7" s="723" t="str">
        <f>IF(F8=0,"",VLOOKUP(F8,Регистрация!$B$7:$N$71,11,FALSE))</f>
        <v/>
      </c>
      <c r="G7" s="726"/>
      <c r="H7" s="429"/>
      <c r="U7" s="407"/>
    </row>
    <row r="8" spans="1:22" ht="8.25" customHeight="1">
      <c r="A8" s="416">
        <v>4</v>
      </c>
      <c r="B8" s="417" t="str">
        <f>IF(A8=0,"",CONCATENATE(VLOOKUP(A8,Регистрация!$B$7:$N$71,3,FALSE)," ",VLOOKUP(A8,Регистрация!$B$7:$N$71,4,FALSE)))</f>
        <v>Шайдулина Алина</v>
      </c>
      <c r="C8" s="432"/>
      <c r="D8" s="716"/>
      <c r="E8" s="717"/>
      <c r="F8" s="411"/>
      <c r="G8" s="412" t="str">
        <f>IF(F8=0,"",CONCATENATE(VLOOKUP(F8,Регистрация!$B$7:$N$71,3,FALSE)," ",VLOOKUP(F8,Регистрация!$B$7:$N$71,4,FALSE)))</f>
        <v/>
      </c>
      <c r="H8" s="430"/>
    </row>
    <row r="9" spans="1:22" ht="8.25" customHeight="1">
      <c r="F9" s="413"/>
      <c r="G9" s="414" t="str">
        <f>IF(F9=0,"",CONCATENATE(VLOOKUP(F9,Регистрация!$B$7:$N$71,3,FALSE)," ",VLOOKUP(F9,Регистрация!$B$7:$N$71,4,FALSE)))</f>
        <v/>
      </c>
      <c r="H9" s="431"/>
      <c r="I9" s="456"/>
      <c r="U9" s="410"/>
    </row>
    <row r="10" spans="1:22" ht="8.25" customHeight="1">
      <c r="A10" s="723">
        <f>IF(A11=0,"",VLOOKUP(A11,Регистрация!$B$7:$N$71,11,FALSE))</f>
        <v>0</v>
      </c>
      <c r="B10" s="726"/>
      <c r="C10" s="429"/>
      <c r="D10" s="718"/>
      <c r="E10" s="719"/>
      <c r="F10" s="413"/>
      <c r="G10" s="415" t="str">
        <f>IF(F10=0,"",CONCATENATE(VLOOKUP(F10,Регистрация!$B$7:$N$71,3,FALSE)," ",VLOOKUP(F10,Регистрация!$B$7:$N$71,4,FALSE)))</f>
        <v/>
      </c>
      <c r="H10" s="431"/>
      <c r="I10" s="720"/>
      <c r="J10" s="720"/>
    </row>
    <row r="11" spans="1:22" ht="8.25" customHeight="1">
      <c r="A11" s="411">
        <v>33</v>
      </c>
      <c r="B11" s="412" t="str">
        <f>IF(A11=0,"",CONCATENATE(VLOOKUP(A11,Регистрация!$B$7:$N$71,3,FALSE)," ",VLOOKUP(A11,Регистрация!$B$7:$N$71,4,FALSE)))</f>
        <v xml:space="preserve"> </v>
      </c>
      <c r="C11" s="430"/>
      <c r="D11" s="718"/>
      <c r="E11" s="719"/>
      <c r="F11" s="416"/>
      <c r="G11" s="417" t="str">
        <f>IF(F11=0,"",CONCATENATE(VLOOKUP(F11,Регистрация!$B$7:$N$71,3,FALSE)," ",VLOOKUP(F11,Регистрация!$B$7:$N$71,4,FALSE)))</f>
        <v/>
      </c>
      <c r="H11" s="432"/>
      <c r="I11" s="720"/>
      <c r="J11" s="720"/>
    </row>
    <row r="12" spans="1:22" ht="8.25" customHeight="1">
      <c r="A12" s="413">
        <v>34</v>
      </c>
      <c r="B12" s="414" t="str">
        <f>IF(A12=0,"",CONCATENATE(VLOOKUP(A12,Регистрация!$B$7:$N$71,3,FALSE)," ",VLOOKUP(A12,Регистрация!$B$7:$N$71,4,FALSE)))</f>
        <v xml:space="preserve"> </v>
      </c>
      <c r="C12" s="431"/>
      <c r="I12" s="720"/>
      <c r="J12" s="720"/>
    </row>
    <row r="13" spans="1:22" ht="8.25" customHeight="1">
      <c r="A13" s="413">
        <v>35</v>
      </c>
      <c r="B13" s="415" t="str">
        <f>IF(A13=0,"",CONCATENATE(VLOOKUP(A13,Регистрация!$B$7:$N$71,3,FALSE)," ",VLOOKUP(A13,Регистрация!$B$7:$N$71,4,FALSE)))</f>
        <v xml:space="preserve"> </v>
      </c>
      <c r="C13" s="431"/>
      <c r="I13" s="720"/>
      <c r="J13" s="720"/>
      <c r="K13" s="723" t="str">
        <f>IF(K14=0,"",VLOOKUP(K14,Регистрация!$B$7:$N$71,11,FALSE))</f>
        <v/>
      </c>
      <c r="L13" s="724"/>
      <c r="M13" s="429"/>
    </row>
    <row r="14" spans="1:22" ht="8.25" customHeight="1">
      <c r="A14" s="416">
        <v>36</v>
      </c>
      <c r="B14" s="417" t="str">
        <f>IF(A14=0,"",CONCATENATE(VLOOKUP(A14,Регистрация!$B$7:$N$71,3,FALSE)," ",VLOOKUP(A14,Регистрация!$B$7:$N$71,4,FALSE)))</f>
        <v xml:space="preserve"> </v>
      </c>
      <c r="C14" s="432"/>
      <c r="I14" s="720"/>
      <c r="J14" s="720"/>
      <c r="K14" s="411"/>
      <c r="L14" s="412" t="str">
        <f>IF(K14=0,"",CONCATENATE(VLOOKUP(K14,Регистрация!$B$7:$N$71,3,FALSE)," ",VLOOKUP(K14,Регистрация!$B$7:$N$71,4,FALSE)))</f>
        <v/>
      </c>
      <c r="M14" s="430"/>
    </row>
    <row r="15" spans="1:22" ht="8.25" customHeight="1">
      <c r="K15" s="413"/>
      <c r="L15" s="414" t="str">
        <f>IF(K15=0,"",CONCATENATE(VLOOKUP(K15,Регистрация!$B$7:$N$71,3,FALSE)," ",VLOOKUP(K15,Регистрация!$B$7:$N$71,4,FALSE)))</f>
        <v/>
      </c>
      <c r="M15" s="431"/>
    </row>
    <row r="16" spans="1:22" ht="8.25" customHeight="1">
      <c r="A16" s="723">
        <f>IF(A17=0,"",VLOOKUP(A17,Регистрация!$B$7:$N$71,11,FALSE))</f>
        <v>0</v>
      </c>
      <c r="B16" s="726"/>
      <c r="C16" s="429"/>
      <c r="I16" s="715"/>
      <c r="J16" s="715"/>
      <c r="K16" s="413"/>
      <c r="L16" s="415" t="str">
        <f>IF(K16=0,"",CONCATENATE(VLOOKUP(K16,Регистрация!$B$7:$N$71,3,FALSE)," ",VLOOKUP(K16,Регистрация!$B$7:$N$71,4,FALSE)))</f>
        <v/>
      </c>
      <c r="M16" s="431"/>
      <c r="N16" s="720"/>
      <c r="O16" s="720"/>
    </row>
    <row r="17" spans="1:20" ht="8.25" customHeight="1">
      <c r="A17" s="411">
        <v>17</v>
      </c>
      <c r="B17" s="412" t="str">
        <f>IF(A17=0,"",CONCATENATE(VLOOKUP(A17,Регистрация!$B$7:$N$71,3,FALSE)," ",VLOOKUP(A17,Регистрация!$B$7:$N$71,4,FALSE)))</f>
        <v xml:space="preserve"> </v>
      </c>
      <c r="C17" s="430"/>
      <c r="I17" s="715"/>
      <c r="J17" s="715"/>
      <c r="K17" s="416"/>
      <c r="L17" s="417" t="str">
        <f>IF(K17=0,"",CONCATENATE(VLOOKUP(K17,Регистрация!$B$7:$N$71,3,FALSE)," ",VLOOKUP(K17,Регистрация!$B$7:$N$71,4,FALSE)))</f>
        <v/>
      </c>
      <c r="M17" s="432"/>
      <c r="N17" s="720"/>
      <c r="O17" s="720"/>
    </row>
    <row r="18" spans="1:20" ht="8.25" customHeight="1">
      <c r="A18" s="413">
        <v>18</v>
      </c>
      <c r="B18" s="414" t="str">
        <f>IF(A18=0,"",CONCATENATE(VLOOKUP(A18,Регистрация!$B$7:$N$71,3,FALSE)," ",VLOOKUP(A18,Регистрация!$B$7:$N$71,4,FALSE)))</f>
        <v xml:space="preserve"> </v>
      </c>
      <c r="C18" s="431"/>
      <c r="I18" s="715"/>
      <c r="J18" s="715"/>
      <c r="N18" s="720"/>
      <c r="O18" s="720"/>
    </row>
    <row r="19" spans="1:20" ht="8.25" customHeight="1">
      <c r="A19" s="413">
        <v>19</v>
      </c>
      <c r="B19" s="415" t="str">
        <f>IF(A19=0,"",CONCATENATE(VLOOKUP(A19,Регистрация!$B$7:$N$71,3,FALSE)," ",VLOOKUP(A19,Регистрация!$B$7:$N$71,4,FALSE)))</f>
        <v xml:space="preserve"> </v>
      </c>
      <c r="C19" s="431"/>
      <c r="D19" s="716"/>
      <c r="E19" s="717"/>
      <c r="F19" s="723" t="str">
        <f>IF(F20=0,"",VLOOKUP(F20,Регистрация!$B$7:$N$71,11,FALSE))</f>
        <v/>
      </c>
      <c r="G19" s="726"/>
      <c r="H19" s="429"/>
      <c r="I19" s="715"/>
      <c r="J19" s="715"/>
      <c r="N19" s="720"/>
      <c r="O19" s="720"/>
    </row>
    <row r="20" spans="1:20" ht="8.25" customHeight="1">
      <c r="A20" s="416">
        <v>20</v>
      </c>
      <c r="B20" s="417" t="str">
        <f>IF(A20=0,"",CONCATENATE(VLOOKUP(A20,Регистрация!$B$7:$N$71,3,FALSE)," ",VLOOKUP(A20,Регистрация!$B$7:$N$71,4,FALSE)))</f>
        <v xml:space="preserve"> </v>
      </c>
      <c r="C20" s="432"/>
      <c r="D20" s="716"/>
      <c r="E20" s="717"/>
      <c r="F20" s="411"/>
      <c r="G20" s="412" t="str">
        <f>IF(F20=0,"",CONCATENATE(VLOOKUP(F20,Регистрация!$B$7:$N$71,3,FALSE)," ",VLOOKUP(F20,Регистрация!$B$7:$N$71,4,FALSE)))</f>
        <v/>
      </c>
      <c r="H20" s="430"/>
      <c r="I20" s="715"/>
      <c r="J20" s="715"/>
      <c r="N20" s="720"/>
      <c r="O20" s="720"/>
    </row>
    <row r="21" spans="1:20" ht="8.25" customHeight="1">
      <c r="F21" s="413"/>
      <c r="G21" s="414" t="str">
        <f>IF(F21=0,"",CONCATENATE(VLOOKUP(F21,Регистрация!$B$7:$N$71,3,FALSE)," ",VLOOKUP(F21,Регистрация!$B$7:$N$71,4,FALSE)))</f>
        <v/>
      </c>
      <c r="H21" s="431"/>
      <c r="N21" s="720"/>
      <c r="O21" s="720"/>
    </row>
    <row r="22" spans="1:20" ht="8.25" customHeight="1">
      <c r="A22" s="723">
        <f>IF(A23=0,"",VLOOKUP(A23,Регистрация!$B$7:$N$71,11,FALSE))</f>
        <v>0</v>
      </c>
      <c r="B22" s="726"/>
      <c r="C22" s="429"/>
      <c r="D22" s="718"/>
      <c r="E22" s="719"/>
      <c r="F22" s="413"/>
      <c r="G22" s="415" t="str">
        <f>IF(F22=0,"",CONCATENATE(VLOOKUP(F22,Регистрация!$B$7:$N$71,3,FALSE)," ",VLOOKUP(F22,Регистрация!$B$7:$N$71,4,FALSE)))</f>
        <v/>
      </c>
      <c r="H22" s="431"/>
      <c r="I22" s="456"/>
      <c r="N22" s="720"/>
      <c r="O22" s="720"/>
    </row>
    <row r="23" spans="1:20" ht="8.25" customHeight="1">
      <c r="A23" s="411">
        <v>49</v>
      </c>
      <c r="B23" s="412" t="str">
        <f>IF(A23=0,"",CONCATENATE(VLOOKUP(A23,Регистрация!$B$7:$N$71,3,FALSE)," ",VLOOKUP(A23,Регистрация!$B$7:$N$71,4,FALSE)))</f>
        <v xml:space="preserve"> </v>
      </c>
      <c r="C23" s="430"/>
      <c r="D23" s="718"/>
      <c r="E23" s="719"/>
      <c r="F23" s="416"/>
      <c r="G23" s="417" t="str">
        <f>IF(F23=0,"",CONCATENATE(VLOOKUP(F23,Регистрация!$B$7:$N$71,3,FALSE)," ",VLOOKUP(F23,Регистрация!$B$7:$N$71,4,FALSE)))</f>
        <v/>
      </c>
      <c r="H23" s="432"/>
      <c r="N23" s="720"/>
      <c r="O23" s="720"/>
    </row>
    <row r="24" spans="1:20" ht="8.25" customHeight="1">
      <c r="A24" s="413">
        <v>50</v>
      </c>
      <c r="B24" s="414" t="str">
        <f>IF(A24=0,"",CONCATENATE(VLOOKUP(A24,Регистрация!$B$7:$N$71,3,FALSE)," ",VLOOKUP(A24,Регистрация!$B$7:$N$71,4,FALSE)))</f>
        <v xml:space="preserve"> </v>
      </c>
      <c r="C24" s="431"/>
      <c r="N24" s="720"/>
      <c r="O24" s="720"/>
      <c r="Q24" s="420"/>
    </row>
    <row r="25" spans="1:20" ht="8.25" customHeight="1">
      <c r="A25" s="413">
        <v>51</v>
      </c>
      <c r="B25" s="415" t="str">
        <f>IF(A25=0,"",CONCATENATE(VLOOKUP(A25,Регистрация!$B$7:$N$71,3,FALSE)," ",VLOOKUP(A25,Регистрация!$B$7:$N$71,4,FALSE)))</f>
        <v xml:space="preserve"> </v>
      </c>
      <c r="C25" s="431"/>
      <c r="N25" s="720"/>
      <c r="O25" s="720"/>
      <c r="P25" s="723" t="str">
        <f>IF(P26=0,"",VLOOKUP(P26,Регистрация!$B$7:$N$71,11,FALSE))</f>
        <v/>
      </c>
      <c r="Q25" s="724"/>
      <c r="R25" s="429"/>
    </row>
    <row r="26" spans="1:20" ht="8.25" customHeight="1">
      <c r="A26" s="416">
        <v>52</v>
      </c>
      <c r="B26" s="417" t="str">
        <f>IF(A26=0,"",CONCATENATE(VLOOKUP(A26,Регистрация!$B$7:$N$71,3,FALSE)," ",VLOOKUP(A26,Регистрация!$B$7:$N$71,4,FALSE)))</f>
        <v xml:space="preserve"> </v>
      </c>
      <c r="C26" s="432"/>
      <c r="N26" s="720"/>
      <c r="O26" s="720"/>
      <c r="P26" s="411"/>
      <c r="Q26" s="412" t="str">
        <f>IF(P26=0,"",CONCATENATE(VLOOKUP(P26,Регистрация!$B$7:$N$71,3,FALSE)," ",VLOOKUP(P26,Регистрация!$B$7:$N$71,4,FALSE)))</f>
        <v/>
      </c>
      <c r="R26" s="430"/>
    </row>
    <row r="27" spans="1:20" ht="8.25" customHeight="1">
      <c r="P27" s="413"/>
      <c r="Q27" s="414" t="str">
        <f>IF(P27=0,"",CONCATENATE(VLOOKUP(P27,Регистрация!$B$7:$N$71,3,FALSE)," ",VLOOKUP(P27,Регистрация!$B$7:$N$71,4,FALSE)))</f>
        <v/>
      </c>
      <c r="R27" s="431"/>
      <c r="S27" s="456"/>
    </row>
    <row r="28" spans="1:20" ht="8.25" customHeight="1">
      <c r="A28" s="723">
        <f>IF(A29=0,"",VLOOKUP(A29,Регистрация!$B$7:$N$71,11,FALSE))</f>
        <v>0</v>
      </c>
      <c r="B28" s="726"/>
      <c r="C28" s="429"/>
      <c r="N28" s="715"/>
      <c r="O28" s="715"/>
      <c r="P28" s="413"/>
      <c r="Q28" s="415" t="str">
        <f>IF(P28=0,"",CONCATENATE(VLOOKUP(P28,Регистрация!$B$7:$N$71,3,FALSE)," ",VLOOKUP(P28,Регистрация!$B$7:$N$71,4,FALSE)))</f>
        <v/>
      </c>
      <c r="R28" s="458"/>
      <c r="S28" s="720"/>
      <c r="T28" s="720"/>
    </row>
    <row r="29" spans="1:20" ht="8.25" customHeight="1">
      <c r="A29" s="411">
        <v>9</v>
      </c>
      <c r="B29" s="412" t="str">
        <f>IF(A29=0,"",CONCATENATE(VLOOKUP(A29,Регистрация!$B$7:$N$71,3,FALSE)," ",VLOOKUP(A29,Регистрация!$B$7:$N$71,4,FALSE)))</f>
        <v xml:space="preserve"> </v>
      </c>
      <c r="C29" s="430"/>
      <c r="N29" s="715"/>
      <c r="O29" s="715"/>
      <c r="P29" s="416"/>
      <c r="Q29" s="417" t="str">
        <f>IF(P29=0,"",CONCATENATE(VLOOKUP(P29,Регистрация!$B$7:$N$71,3,FALSE)," ",VLOOKUP(P29,Регистрация!$B$7:$N$71,4,FALSE)))</f>
        <v/>
      </c>
      <c r="R29" s="459"/>
      <c r="S29" s="720"/>
      <c r="T29" s="720"/>
    </row>
    <row r="30" spans="1:20" ht="8.25" customHeight="1">
      <c r="A30" s="413">
        <v>10</v>
      </c>
      <c r="B30" s="414" t="str">
        <f>IF(A30=0,"",CONCATENATE(VLOOKUP(A30,Регистрация!$B$7:$N$71,3,FALSE)," ",VLOOKUP(A30,Регистрация!$B$7:$N$71,4,FALSE)))</f>
        <v xml:space="preserve"> </v>
      </c>
      <c r="C30" s="431"/>
      <c r="N30" s="715"/>
      <c r="O30" s="715"/>
      <c r="S30" s="720"/>
      <c r="T30" s="720"/>
    </row>
    <row r="31" spans="1:20" ht="8.25" customHeight="1">
      <c r="A31" s="413">
        <v>11</v>
      </c>
      <c r="B31" s="415" t="str">
        <f>IF(A31=0,"",CONCATENATE(VLOOKUP(A31,Регистрация!$B$7:$N$71,3,FALSE)," ",VLOOKUP(A31,Регистрация!$B$7:$N$71,4,FALSE)))</f>
        <v xml:space="preserve"> </v>
      </c>
      <c r="C31" s="431"/>
      <c r="D31" s="716"/>
      <c r="E31" s="717"/>
      <c r="F31" s="723" t="str">
        <f>IF(F32=0,"",VLOOKUP(F32,Регистрация!$B$7:$N$71,11,FALSE))</f>
        <v/>
      </c>
      <c r="G31" s="726"/>
      <c r="H31" s="429"/>
      <c r="N31" s="715"/>
      <c r="O31" s="715"/>
      <c r="S31" s="720"/>
      <c r="T31" s="720"/>
    </row>
    <row r="32" spans="1:20" ht="8.25" customHeight="1">
      <c r="A32" s="416">
        <v>12</v>
      </c>
      <c r="B32" s="417" t="str">
        <f>IF(A32=0,"",CONCATENATE(VLOOKUP(A32,Регистрация!$B$7:$N$71,3,FALSE)," ",VLOOKUP(A32,Регистрация!$B$7:$N$71,4,FALSE)))</f>
        <v xml:space="preserve"> </v>
      </c>
      <c r="C32" s="432"/>
      <c r="D32" s="716"/>
      <c r="E32" s="717"/>
      <c r="F32" s="411"/>
      <c r="G32" s="412" t="str">
        <f>IF(F32=0,"",CONCATENATE(VLOOKUP(F32,Регистрация!$B$7:$N$71,3,FALSE)," ",VLOOKUP(F32,Регистрация!$B$7:$N$71,4,FALSE)))</f>
        <v/>
      </c>
      <c r="H32" s="430"/>
      <c r="N32" s="715"/>
      <c r="O32" s="715"/>
      <c r="S32" s="720"/>
      <c r="T32" s="720"/>
    </row>
    <row r="33" spans="1:22" ht="8.25" customHeight="1">
      <c r="F33" s="413"/>
      <c r="G33" s="414" t="str">
        <f>IF(F33=0,"",CONCATENATE(VLOOKUP(F33,Регистрация!$B$7:$N$71,3,FALSE)," ",VLOOKUP(F33,Регистрация!$B$7:$N$71,4,FALSE)))</f>
        <v/>
      </c>
      <c r="H33" s="431"/>
      <c r="I33" s="456"/>
      <c r="N33" s="715"/>
      <c r="O33" s="715"/>
      <c r="S33" s="720"/>
      <c r="T33" s="720"/>
    </row>
    <row r="34" spans="1:22" ht="8.25" customHeight="1">
      <c r="A34" s="723">
        <f>IF(A35=0,"",VLOOKUP(A35,Регистрация!$B$7:$N$71,11,FALSE))</f>
        <v>0</v>
      </c>
      <c r="B34" s="726"/>
      <c r="C34" s="429"/>
      <c r="D34" s="718"/>
      <c r="E34" s="719"/>
      <c r="F34" s="413"/>
      <c r="G34" s="415" t="str">
        <f>IF(F34=0,"",CONCATENATE(VLOOKUP(F34,Регистрация!$B$7:$N$71,3,FALSE)," ",VLOOKUP(F34,Регистрация!$B$7:$N$71,4,FALSE)))</f>
        <v/>
      </c>
      <c r="H34" s="431"/>
      <c r="I34" s="720"/>
      <c r="J34" s="720"/>
      <c r="N34" s="715"/>
      <c r="O34" s="715"/>
      <c r="S34" s="720"/>
      <c r="T34" s="720"/>
    </row>
    <row r="35" spans="1:22" ht="8.25" customHeight="1">
      <c r="A35" s="411">
        <v>41</v>
      </c>
      <c r="B35" s="412" t="str">
        <f>IF(A35=0,"",CONCATENATE(VLOOKUP(A35,Регистрация!$B$7:$N$71,3,FALSE)," ",VLOOKUP(A35,Регистрация!$B$7:$N$71,4,FALSE)))</f>
        <v xml:space="preserve"> </v>
      </c>
      <c r="C35" s="430"/>
      <c r="D35" s="718"/>
      <c r="E35" s="719"/>
      <c r="F35" s="416"/>
      <c r="G35" s="417" t="str">
        <f>IF(F35=0,"",CONCATENATE(VLOOKUP(F35,Регистрация!$B$7:$N$71,3,FALSE)," ",VLOOKUP(F35,Регистрация!$B$7:$N$71,4,FALSE)))</f>
        <v/>
      </c>
      <c r="H35" s="432"/>
      <c r="I35" s="720"/>
      <c r="J35" s="720"/>
      <c r="N35" s="715"/>
      <c r="O35" s="715"/>
      <c r="S35" s="720"/>
      <c r="T35" s="720"/>
    </row>
    <row r="36" spans="1:22" ht="8.25" customHeight="1">
      <c r="A36" s="413">
        <v>42</v>
      </c>
      <c r="B36" s="414" t="str">
        <f>IF(A36=0,"",CONCATENATE(VLOOKUP(A36,Регистрация!$B$7:$N$71,3,FALSE)," ",VLOOKUP(A36,Регистрация!$B$7:$N$71,4,FALSE)))</f>
        <v xml:space="preserve"> </v>
      </c>
      <c r="C36" s="431"/>
      <c r="I36" s="720"/>
      <c r="J36" s="720"/>
      <c r="N36" s="715"/>
      <c r="O36" s="715"/>
      <c r="S36" s="720"/>
      <c r="T36" s="720"/>
    </row>
    <row r="37" spans="1:22" ht="8.25" customHeight="1">
      <c r="A37" s="413">
        <v>43</v>
      </c>
      <c r="B37" s="415" t="str">
        <f>IF(A37=0,"",CONCATENATE(VLOOKUP(A37,Регистрация!$B$7:$N$71,3,FALSE)," ",VLOOKUP(A37,Регистрация!$B$7:$N$71,4,FALSE)))</f>
        <v xml:space="preserve"> </v>
      </c>
      <c r="C37" s="431"/>
      <c r="I37" s="720"/>
      <c r="J37" s="720"/>
      <c r="K37" s="723" t="str">
        <f>IF(K38=0,"",VLOOKUP(K38,Регистрация!$B$7:$N$71,11,FALSE))</f>
        <v/>
      </c>
      <c r="L37" s="726"/>
      <c r="M37" s="429"/>
      <c r="N37" s="715"/>
      <c r="O37" s="715"/>
      <c r="S37" s="720"/>
      <c r="T37" s="720"/>
    </row>
    <row r="38" spans="1:22" ht="8.25" customHeight="1">
      <c r="A38" s="416">
        <v>44</v>
      </c>
      <c r="B38" s="417" t="str">
        <f>IF(A38=0,"",CONCATENATE(VLOOKUP(A38,Регистрация!$B$7:$N$71,3,FALSE)," ",VLOOKUP(A38,Регистрация!$B$7:$N$71,4,FALSE)))</f>
        <v xml:space="preserve"> </v>
      </c>
      <c r="C38" s="432"/>
      <c r="I38" s="720"/>
      <c r="J38" s="720"/>
      <c r="K38" s="411"/>
      <c r="L38" s="412" t="str">
        <f>IF(K38=0,"",CONCATENATE(VLOOKUP(K38,Регистрация!$B$7:$N$71,3,FALSE)," ",VLOOKUP(K38,Регистрация!$B$7:$N$71,4,FALSE)))</f>
        <v/>
      </c>
      <c r="M38" s="430"/>
      <c r="N38" s="715"/>
      <c r="O38" s="715"/>
      <c r="S38" s="720"/>
      <c r="T38" s="720"/>
    </row>
    <row r="39" spans="1:22" ht="8.25" customHeight="1">
      <c r="K39" s="413"/>
      <c r="L39" s="414" t="str">
        <f>IF(K39=0,"",CONCATENATE(VLOOKUP(K39,Регистрация!$B$7:$N$71,3,FALSE)," ",VLOOKUP(K39,Регистрация!$B$7:$N$71,4,FALSE)))</f>
        <v/>
      </c>
      <c r="M39" s="431"/>
      <c r="S39" s="720"/>
      <c r="T39" s="720"/>
    </row>
    <row r="40" spans="1:22" ht="8.25" customHeight="1">
      <c r="A40" s="723">
        <f>IF(A41=0,"",VLOOKUP(A41,Регистрация!$B$7:$N$71,11,FALSE))</f>
        <v>0</v>
      </c>
      <c r="B40" s="726"/>
      <c r="C40" s="429"/>
      <c r="I40" s="715"/>
      <c r="J40" s="715"/>
      <c r="K40" s="413"/>
      <c r="L40" s="415" t="str">
        <f>IF(K40=0,"",CONCATENATE(VLOOKUP(K40,Регистрация!$B$7:$N$71,3,FALSE)," ",VLOOKUP(K40,Регистрация!$B$7:$N$71,4,FALSE)))</f>
        <v/>
      </c>
      <c r="M40" s="431"/>
      <c r="N40" s="456"/>
      <c r="S40" s="720"/>
      <c r="T40" s="720"/>
    </row>
    <row r="41" spans="1:22" ht="8.25" customHeight="1">
      <c r="A41" s="411">
        <v>25</v>
      </c>
      <c r="B41" s="412" t="str">
        <f>IF(A41=0,"",CONCATENATE(VLOOKUP(A41,Регистрация!$B$7:$N$71,3,FALSE)," ",VLOOKUP(A41,Регистрация!$B$7:$N$71,4,FALSE)))</f>
        <v xml:space="preserve"> </v>
      </c>
      <c r="C41" s="430"/>
      <c r="I41" s="715"/>
      <c r="J41" s="715"/>
      <c r="K41" s="416"/>
      <c r="L41" s="417" t="str">
        <f>IF(K41=0,"",CONCATENATE(VLOOKUP(K41,Регистрация!$B$7:$N$71,3,FALSE)," ",VLOOKUP(K41,Регистрация!$B$7:$N$71,4,FALSE)))</f>
        <v/>
      </c>
      <c r="M41" s="432"/>
      <c r="S41" s="720"/>
      <c r="T41" s="720"/>
    </row>
    <row r="42" spans="1:22" ht="8.25" customHeight="1">
      <c r="A42" s="413">
        <v>26</v>
      </c>
      <c r="B42" s="414" t="str">
        <f>IF(A42=0,"",CONCATENATE(VLOOKUP(A42,Регистрация!$B$7:$N$71,3,FALSE)," ",VLOOKUP(A42,Регистрация!$B$7:$N$71,4,FALSE)))</f>
        <v xml:space="preserve"> </v>
      </c>
      <c r="C42" s="431"/>
      <c r="I42" s="715"/>
      <c r="J42" s="715"/>
      <c r="S42" s="720"/>
      <c r="T42" s="720"/>
    </row>
    <row r="43" spans="1:22" ht="8.25" customHeight="1">
      <c r="A43" s="413">
        <v>27</v>
      </c>
      <c r="B43" s="415" t="str">
        <f>IF(A43=0,"",CONCATENATE(VLOOKUP(A43,Регистрация!$B$7:$N$71,3,FALSE)," ",VLOOKUP(A43,Регистрация!$B$7:$N$71,4,FALSE)))</f>
        <v xml:space="preserve"> </v>
      </c>
      <c r="C43" s="431"/>
      <c r="D43" s="716"/>
      <c r="E43" s="717"/>
      <c r="F43" s="723" t="str">
        <f>IF(F44=0,"",VLOOKUP(F44,Регистрация!$B$7:$N$71,11,FALSE))</f>
        <v/>
      </c>
      <c r="G43" s="726"/>
      <c r="H43" s="429"/>
      <c r="I43" s="715"/>
      <c r="J43" s="715"/>
      <c r="S43" s="720"/>
      <c r="T43" s="720"/>
    </row>
    <row r="44" spans="1:22" ht="8.25" customHeight="1">
      <c r="A44" s="416">
        <v>28</v>
      </c>
      <c r="B44" s="417" t="str">
        <f>IF(A44=0,"",CONCATENATE(VLOOKUP(A44,Регистрация!$B$7:$N$71,3,FALSE)," ",VLOOKUP(A44,Регистрация!$B$7:$N$71,4,FALSE)))</f>
        <v xml:space="preserve"> </v>
      </c>
      <c r="C44" s="432"/>
      <c r="D44" s="716"/>
      <c r="E44" s="717"/>
      <c r="F44" s="411"/>
      <c r="G44" s="412" t="str">
        <f>IF(F44=0,"",CONCATENATE(VLOOKUP(F44,Регистрация!$B$7:$N$71,3,FALSE)," ",VLOOKUP(F44,Регистрация!$B$7:$N$71,4,FALSE)))</f>
        <v/>
      </c>
      <c r="H44" s="430"/>
      <c r="I44" s="715"/>
      <c r="J44" s="715"/>
      <c r="S44" s="720"/>
      <c r="T44" s="720"/>
    </row>
    <row r="45" spans="1:22" ht="8.25" customHeight="1">
      <c r="F45" s="413"/>
      <c r="G45" s="414" t="str">
        <f>IF(F45=0,"",CONCATENATE(VLOOKUP(F45,Регистрация!$B$7:$N$71,3,FALSE)," ",VLOOKUP(F45,Регистрация!$B$7:$N$71,4,FALSE)))</f>
        <v/>
      </c>
      <c r="H45" s="431"/>
      <c r="S45" s="720"/>
      <c r="T45" s="720"/>
    </row>
    <row r="46" spans="1:22" ht="8.25" customHeight="1">
      <c r="A46" s="723">
        <f>IF(A47=0,"",VLOOKUP(A47,Регистрация!$B$7:$N$71,11,FALSE))</f>
        <v>0</v>
      </c>
      <c r="B46" s="726"/>
      <c r="C46" s="429"/>
      <c r="D46" s="718"/>
      <c r="E46" s="719"/>
      <c r="F46" s="413"/>
      <c r="G46" s="415" t="str">
        <f>IF(F46=0,"",CONCATENATE(VLOOKUP(F46,Регистрация!$B$7:$N$71,3,FALSE)," ",VLOOKUP(F46,Регистрация!$B$7:$N$71,4,FALSE)))</f>
        <v/>
      </c>
      <c r="H46" s="431"/>
      <c r="I46" s="456"/>
      <c r="S46" s="720"/>
      <c r="T46" s="720"/>
    </row>
    <row r="47" spans="1:22" ht="8.25" customHeight="1">
      <c r="A47" s="411">
        <v>57</v>
      </c>
      <c r="B47" s="412" t="str">
        <f>IF(A47=0,"",CONCATENATE(VLOOKUP(A47,Регистрация!$B$7:$N$71,3,FALSE)," ",VLOOKUP(A47,Регистрация!$B$7:$N$71,4,FALSE)))</f>
        <v xml:space="preserve"> </v>
      </c>
      <c r="C47" s="430"/>
      <c r="D47" s="718"/>
      <c r="E47" s="719"/>
      <c r="F47" s="416"/>
      <c r="G47" s="417" t="str">
        <f>IF(F47=0,"",CONCATENATE(VLOOKUP(F47,Регистрация!$B$7:$N$71,3,FALSE)," ",VLOOKUP(F47,Регистрация!$B$7:$N$71,4,FALSE)))</f>
        <v/>
      </c>
      <c r="H47" s="432"/>
      <c r="S47" s="720"/>
      <c r="T47" s="720"/>
      <c r="V47" s="740" t="s">
        <v>38</v>
      </c>
    </row>
    <row r="48" spans="1:22" ht="8.25" customHeight="1">
      <c r="A48" s="413">
        <v>58</v>
      </c>
      <c r="B48" s="414" t="str">
        <f>IF(A48=0,"",CONCATENATE(VLOOKUP(A48,Регистрация!$B$7:$N$71,3,FALSE)," ",VLOOKUP(A48,Регистрация!$B$7:$N$71,4,FALSE)))</f>
        <v xml:space="preserve"> </v>
      </c>
      <c r="C48" s="431"/>
      <c r="M48" s="407"/>
      <c r="S48" s="720"/>
      <c r="T48" s="720"/>
      <c r="V48" s="741"/>
    </row>
    <row r="49" spans="1:23" ht="8.25" customHeight="1">
      <c r="A49" s="413">
        <v>59</v>
      </c>
      <c r="B49" s="415" t="str">
        <f>IF(A49=0,"",CONCATENATE(VLOOKUP(A49,Регистрация!$B$7:$N$71,3,FALSE)," ",VLOOKUP(A49,Регистрация!$B$7:$N$71,4,FALSE)))</f>
        <v xml:space="preserve"> </v>
      </c>
      <c r="C49" s="431"/>
      <c r="K49" s="419"/>
      <c r="S49" s="720"/>
      <c r="T49" s="720"/>
      <c r="U49" s="723" t="str">
        <f>IF(U50=0,"",VLOOKUP(U50,Регистрация!$B$7:$N$71,11,FALSE))</f>
        <v/>
      </c>
      <c r="V49" s="724"/>
      <c r="W49" s="429"/>
    </row>
    <row r="50" spans="1:23" ht="8.25" customHeight="1">
      <c r="A50" s="416">
        <v>60</v>
      </c>
      <c r="B50" s="417" t="str">
        <f>IF(A50=0,"",CONCATENATE(VLOOKUP(A50,Регистрация!$B$7:$N$71,3,FALSE)," ",VLOOKUP(A50,Регистрация!$B$7:$N$71,4,FALSE)))</f>
        <v xml:space="preserve"> </v>
      </c>
      <c r="C50" s="432"/>
      <c r="K50" s="419"/>
      <c r="Q50" s="420"/>
      <c r="S50" s="720"/>
      <c r="T50" s="720"/>
      <c r="U50" s="411"/>
      <c r="V50" s="412" t="str">
        <f>IF(U50=0,"",CONCATENATE(VLOOKUP(U50,Регистрация!$B$7:$N$71,3,FALSE)," ",VLOOKUP(U50,Регистрация!$B$7:$N$71,4,FALSE)))</f>
        <v/>
      </c>
      <c r="W50" s="430"/>
    </row>
    <row r="51" spans="1:23" ht="8.25" customHeight="1">
      <c r="K51" s="419"/>
      <c r="U51" s="413"/>
      <c r="V51" s="414" t="str">
        <f>IF(U51=0,"",CONCATENATE(VLOOKUP(U51,Регистрация!$B$7:$N$71,3,FALSE)," ",VLOOKUP(U51,Регистрация!$B$7:$N$71,4,FALSE)))</f>
        <v/>
      </c>
      <c r="W51" s="431"/>
    </row>
    <row r="52" spans="1:23" ht="8.25" customHeight="1">
      <c r="A52" s="723" t="str">
        <f>IF(A53=0,"",VLOOKUP(A53,Регистрация!$B$7:$N$71,11,FALSE))</f>
        <v>Политех</v>
      </c>
      <c r="B52" s="726"/>
      <c r="C52" s="429"/>
      <c r="S52" s="715"/>
      <c r="T52" s="715"/>
      <c r="U52" s="413"/>
      <c r="V52" s="415" t="str">
        <f>IF(U52=0,"",CONCATENATE(VLOOKUP(U52,Регистрация!$B$7:$N$71,3,FALSE)," ",VLOOKUP(U52,Регистрация!$B$7:$N$71,4,FALSE)))</f>
        <v/>
      </c>
      <c r="W52" s="431"/>
    </row>
    <row r="53" spans="1:23" ht="8.25" customHeight="1">
      <c r="A53" s="411">
        <v>5</v>
      </c>
      <c r="B53" s="412" t="str">
        <f>IF(A53=0,"",CONCATENATE(VLOOKUP(A53,Регистрация!$B$7:$N$71,3,FALSE)," ",VLOOKUP(A53,Регистрация!$B$7:$N$71,4,FALSE)))</f>
        <v>Носкова Александра</v>
      </c>
      <c r="C53" s="430"/>
      <c r="S53" s="715"/>
      <c r="T53" s="715"/>
      <c r="U53" s="416"/>
      <c r="V53" s="417" t="str">
        <f>IF(U53=0,"",CONCATENATE(VLOOKUP(U53,Регистрация!$B$7:$N$71,3,FALSE)," ",VLOOKUP(U53,Регистрация!$B$7:$N$71,4,FALSE)))</f>
        <v/>
      </c>
      <c r="W53" s="432"/>
    </row>
    <row r="54" spans="1:23" ht="8.25" customHeight="1">
      <c r="A54" s="413">
        <v>6</v>
      </c>
      <c r="B54" s="414" t="str">
        <f>IF(A54=0,"",CONCATENATE(VLOOKUP(A54,Регистрация!$B$7:$N$71,3,FALSE)," ",VLOOKUP(A54,Регистрация!$B$7:$N$71,4,FALSE)))</f>
        <v>Павлова Мария</v>
      </c>
      <c r="C54" s="431"/>
      <c r="S54" s="715"/>
      <c r="T54" s="715"/>
    </row>
    <row r="55" spans="1:23" ht="8.25" customHeight="1">
      <c r="A55" s="413">
        <v>7</v>
      </c>
      <c r="B55" s="415" t="str">
        <f>IF(A55=0,"",CONCATENATE(VLOOKUP(A55,Регистрация!$B$7:$N$71,3,FALSE)," ",VLOOKUP(A55,Регистрация!$B$7:$N$71,4,FALSE)))</f>
        <v xml:space="preserve"> </v>
      </c>
      <c r="C55" s="431"/>
      <c r="D55" s="716"/>
      <c r="E55" s="717"/>
      <c r="F55" s="723" t="str">
        <f>IF(F56=0,"",VLOOKUP(F56,Регистрация!$B$7:$N$71,11,FALSE))</f>
        <v/>
      </c>
      <c r="G55" s="726"/>
      <c r="H55" s="429"/>
      <c r="S55" s="715"/>
      <c r="T55" s="715"/>
    </row>
    <row r="56" spans="1:23" ht="8.25" customHeight="1">
      <c r="A56" s="416">
        <v>8</v>
      </c>
      <c r="B56" s="417" t="str">
        <f>IF(A56=0,"",CONCATENATE(VLOOKUP(A56,Регистрация!$B$7:$N$71,3,FALSE)," ",VLOOKUP(A56,Регистрация!$B$7:$N$71,4,FALSE)))</f>
        <v xml:space="preserve"> </v>
      </c>
      <c r="C56" s="432"/>
      <c r="D56" s="716"/>
      <c r="E56" s="717"/>
      <c r="F56" s="411"/>
      <c r="G56" s="412" t="str">
        <f>IF(F56=0,"",CONCATENATE(VLOOKUP(F56,Регистрация!$B$7:$N$71,3,FALSE)," ",VLOOKUP(F56,Регистрация!$B$7:$N$71,4,FALSE)))</f>
        <v/>
      </c>
      <c r="H56" s="430"/>
      <c r="S56" s="715"/>
      <c r="T56" s="715"/>
    </row>
    <row r="57" spans="1:23" ht="8.25" customHeight="1">
      <c r="F57" s="413"/>
      <c r="G57" s="414" t="str">
        <f>IF(F57=0,"",CONCATENATE(VLOOKUP(F57,Регистрация!$B$7:$N$71,3,FALSE)," ",VLOOKUP(F57,Регистрация!$B$7:$N$71,4,FALSE)))</f>
        <v/>
      </c>
      <c r="H57" s="431"/>
      <c r="I57" s="456"/>
      <c r="S57" s="715"/>
      <c r="T57" s="715"/>
    </row>
    <row r="58" spans="1:23" ht="8.25" customHeight="1">
      <c r="A58" s="723">
        <f>IF(A59=0,"",VLOOKUP(A59,Регистрация!$B$7:$N$71,11,FALSE))</f>
        <v>0</v>
      </c>
      <c r="B58" s="726"/>
      <c r="C58" s="429"/>
      <c r="D58" s="718"/>
      <c r="E58" s="719"/>
      <c r="F58" s="413"/>
      <c r="G58" s="415" t="str">
        <f>IF(F58=0,"",CONCATENATE(VLOOKUP(F58,Регистрация!$B$7:$N$71,3,FALSE)," ",VLOOKUP(F58,Регистрация!$B$7:$N$71,4,FALSE)))</f>
        <v/>
      </c>
      <c r="H58" s="431"/>
      <c r="I58" s="720"/>
      <c r="J58" s="720"/>
      <c r="S58" s="715"/>
      <c r="T58" s="715"/>
    </row>
    <row r="59" spans="1:23" ht="8.25" customHeight="1">
      <c r="A59" s="411">
        <v>37</v>
      </c>
      <c r="B59" s="412" t="str">
        <f>IF(A59=0,"",CONCATENATE(VLOOKUP(A59,Регистрация!$B$7:$N$71,3,FALSE)," ",VLOOKUP(A59,Регистрация!$B$7:$N$71,4,FALSE)))</f>
        <v xml:space="preserve"> </v>
      </c>
      <c r="C59" s="430"/>
      <c r="D59" s="718"/>
      <c r="E59" s="719"/>
      <c r="F59" s="416"/>
      <c r="G59" s="417" t="str">
        <f>IF(F59=0,"",CONCATENATE(VLOOKUP(F59,Регистрация!$B$7:$N$71,3,FALSE)," ",VLOOKUP(F59,Регистрация!$B$7:$N$71,4,FALSE)))</f>
        <v/>
      </c>
      <c r="H59" s="432"/>
      <c r="I59" s="720"/>
      <c r="J59" s="720"/>
      <c r="S59" s="715"/>
      <c r="T59" s="715"/>
    </row>
    <row r="60" spans="1:23" ht="8.25" customHeight="1">
      <c r="A60" s="413">
        <v>38</v>
      </c>
      <c r="B60" s="414" t="str">
        <f>IF(A60=0,"",CONCATENATE(VLOOKUP(A60,Регистрация!$B$7:$N$71,3,FALSE)," ",VLOOKUP(A60,Регистрация!$B$7:$N$71,4,FALSE)))</f>
        <v xml:space="preserve"> </v>
      </c>
      <c r="C60" s="431"/>
      <c r="I60" s="720"/>
      <c r="J60" s="720"/>
      <c r="S60" s="715"/>
      <c r="T60" s="715"/>
    </row>
    <row r="61" spans="1:23" ht="8.25" customHeight="1">
      <c r="A61" s="413">
        <v>39</v>
      </c>
      <c r="B61" s="415" t="str">
        <f>IF(A61=0,"",CONCATENATE(VLOOKUP(A61,Регистрация!$B$7:$N$71,3,FALSE)," ",VLOOKUP(A61,Регистрация!$B$7:$N$71,4,FALSE)))</f>
        <v xml:space="preserve"> </v>
      </c>
      <c r="C61" s="431"/>
      <c r="I61" s="720"/>
      <c r="J61" s="720"/>
      <c r="K61" s="723" t="str">
        <f>IF(K62=0,"",VLOOKUP(K62,Регистрация!$B$7:$N$71,11,FALSE))</f>
        <v/>
      </c>
      <c r="L61" s="726"/>
      <c r="M61" s="429"/>
      <c r="S61" s="715"/>
      <c r="T61" s="715"/>
    </row>
    <row r="62" spans="1:23" ht="8.25" customHeight="1">
      <c r="A62" s="416">
        <v>40</v>
      </c>
      <c r="B62" s="417" t="str">
        <f>IF(A62=0,"",CONCATENATE(VLOOKUP(A62,Регистрация!$B$7:$N$71,3,FALSE)," ",VLOOKUP(A62,Регистрация!$B$7:$N$71,4,FALSE)))</f>
        <v xml:space="preserve"> </v>
      </c>
      <c r="C62" s="432"/>
      <c r="I62" s="720"/>
      <c r="J62" s="720"/>
      <c r="K62" s="411"/>
      <c r="L62" s="412" t="str">
        <f>IF(K62=0,"",CONCATENATE(VLOOKUP(K62,Регистрация!$B$7:$N$71,3,FALSE)," ",VLOOKUP(K62,Регистрация!$B$7:$N$71,4,FALSE)))</f>
        <v/>
      </c>
      <c r="M62" s="430"/>
      <c r="S62" s="715"/>
      <c r="T62" s="715"/>
    </row>
    <row r="63" spans="1:23" ht="8.25" customHeight="1">
      <c r="K63" s="413"/>
      <c r="L63" s="414" t="str">
        <f>IF(K63=0,"",CONCATENATE(VLOOKUP(K63,Регистрация!$B$7:$N$71,3,FALSE)," ",VLOOKUP(K63,Регистрация!$B$7:$N$71,4,FALSE)))</f>
        <v/>
      </c>
      <c r="M63" s="431"/>
      <c r="S63" s="715"/>
      <c r="T63" s="715"/>
    </row>
    <row r="64" spans="1:23" ht="8.25" customHeight="1">
      <c r="A64" s="723">
        <f>IF(A65=0,"",VLOOKUP(A65,Регистрация!$B$7:$N$71,11,FALSE))</f>
        <v>0</v>
      </c>
      <c r="B64" s="726"/>
      <c r="C64" s="429"/>
      <c r="I64" s="715"/>
      <c r="J64" s="715"/>
      <c r="K64" s="413"/>
      <c r="L64" s="415" t="str">
        <f>IF(K64=0,"",CONCATENATE(VLOOKUP(K64,Регистрация!$B$7:$N$71,3,FALSE)," ",VLOOKUP(K64,Регистрация!$B$7:$N$71,4,FALSE)))</f>
        <v/>
      </c>
      <c r="M64" s="431"/>
      <c r="N64" s="720"/>
      <c r="O64" s="720"/>
      <c r="S64" s="715"/>
      <c r="T64" s="715"/>
    </row>
    <row r="65" spans="1:20" ht="8.25" customHeight="1">
      <c r="A65" s="411">
        <v>21</v>
      </c>
      <c r="B65" s="412" t="str">
        <f>IF(A65=0,"",CONCATENATE(VLOOKUP(A65,Регистрация!$B$7:$N$71,3,FALSE)," ",VLOOKUP(A65,Регистрация!$B$7:$N$71,4,FALSE)))</f>
        <v xml:space="preserve"> </v>
      </c>
      <c r="C65" s="430"/>
      <c r="I65" s="715"/>
      <c r="J65" s="715"/>
      <c r="K65" s="416"/>
      <c r="L65" s="417" t="str">
        <f>IF(K65=0,"",CONCATENATE(VLOOKUP(K65,Регистрация!$B$7:$N$71,3,FALSE)," ",VLOOKUP(K65,Регистрация!$B$7:$N$71,4,FALSE)))</f>
        <v/>
      </c>
      <c r="M65" s="432"/>
      <c r="N65" s="720"/>
      <c r="O65" s="720"/>
      <c r="S65" s="715"/>
      <c r="T65" s="715"/>
    </row>
    <row r="66" spans="1:20" ht="8.25" customHeight="1">
      <c r="A66" s="413">
        <v>22</v>
      </c>
      <c r="B66" s="414" t="str">
        <f>IF(A66=0,"",CONCATENATE(VLOOKUP(A66,Регистрация!$B$7:$N$71,3,FALSE)," ",VLOOKUP(A66,Регистрация!$B$7:$N$71,4,FALSE)))</f>
        <v xml:space="preserve"> </v>
      </c>
      <c r="C66" s="431"/>
      <c r="I66" s="715"/>
      <c r="J66" s="715"/>
      <c r="N66" s="720"/>
      <c r="O66" s="720"/>
      <c r="S66" s="715"/>
      <c r="T66" s="715"/>
    </row>
    <row r="67" spans="1:20" ht="8.25" customHeight="1">
      <c r="A67" s="413">
        <v>23</v>
      </c>
      <c r="B67" s="415" t="str">
        <f>IF(A67=0,"",CONCATENATE(VLOOKUP(A67,Регистрация!$B$7:$N$71,3,FALSE)," ",VLOOKUP(A67,Регистрация!$B$7:$N$71,4,FALSE)))</f>
        <v xml:space="preserve"> </v>
      </c>
      <c r="C67" s="431"/>
      <c r="D67" s="716"/>
      <c r="E67" s="717"/>
      <c r="F67" s="723" t="str">
        <f>IF(F68=0,"",VLOOKUP(F68,Регистрация!$B$7:$N$71,11,FALSE))</f>
        <v/>
      </c>
      <c r="G67" s="726"/>
      <c r="H67" s="429"/>
      <c r="I67" s="715"/>
      <c r="J67" s="715"/>
      <c r="N67" s="720"/>
      <c r="O67" s="720"/>
      <c r="S67" s="715"/>
      <c r="T67" s="715"/>
    </row>
    <row r="68" spans="1:20" ht="8.25" customHeight="1">
      <c r="A68" s="416">
        <v>24</v>
      </c>
      <c r="B68" s="417" t="str">
        <f>IF(A68=0,"",CONCATENATE(VLOOKUP(A68,Регистрация!$B$7:$N$71,3,FALSE)," ",VLOOKUP(A68,Регистрация!$B$7:$N$71,4,FALSE)))</f>
        <v xml:space="preserve"> </v>
      </c>
      <c r="C68" s="432"/>
      <c r="D68" s="716"/>
      <c r="E68" s="717"/>
      <c r="F68" s="411"/>
      <c r="G68" s="412" t="str">
        <f>IF(F68=0,"",CONCATENATE(VLOOKUP(F68,Регистрация!$B$7:$N$71,3,FALSE)," ",VLOOKUP(F68,Регистрация!$B$7:$N$71,4,FALSE)))</f>
        <v/>
      </c>
      <c r="H68" s="430"/>
      <c r="I68" s="715"/>
      <c r="J68" s="715"/>
      <c r="N68" s="720"/>
      <c r="O68" s="720"/>
      <c r="S68" s="715"/>
      <c r="T68" s="715"/>
    </row>
    <row r="69" spans="1:20" ht="8.25" customHeight="1">
      <c r="F69" s="413"/>
      <c r="G69" s="414" t="str">
        <f>IF(F69=0,"",CONCATENATE(VLOOKUP(F69,Регистрация!$B$7:$N$71,3,FALSE)," ",VLOOKUP(F69,Регистрация!$B$7:$N$71,4,FALSE)))</f>
        <v/>
      </c>
      <c r="H69" s="431"/>
      <c r="N69" s="720"/>
      <c r="O69" s="720"/>
      <c r="S69" s="715"/>
      <c r="T69" s="715"/>
    </row>
    <row r="70" spans="1:20" ht="8.25" customHeight="1">
      <c r="A70" s="723">
        <f>IF(A71=0,"",VLOOKUP(A71,Регистрация!$B$7:$N$71,11,FALSE))</f>
        <v>0</v>
      </c>
      <c r="B70" s="726"/>
      <c r="C70" s="429"/>
      <c r="D70" s="718"/>
      <c r="E70" s="719"/>
      <c r="F70" s="413"/>
      <c r="G70" s="415" t="str">
        <f>IF(F70=0,"",CONCATENATE(VLOOKUP(F70,Регистрация!$B$7:$N$71,3,FALSE)," ",VLOOKUP(F70,Регистрация!$B$7:$N$71,4,FALSE)))</f>
        <v/>
      </c>
      <c r="H70" s="431"/>
      <c r="I70" s="456"/>
      <c r="N70" s="720"/>
      <c r="O70" s="720"/>
      <c r="S70" s="715"/>
      <c r="T70" s="715"/>
    </row>
    <row r="71" spans="1:20" ht="8.25" customHeight="1">
      <c r="A71" s="411">
        <v>53</v>
      </c>
      <c r="B71" s="412" t="str">
        <f>IF(A71=0,"",CONCATENATE(VLOOKUP(A71,Регистрация!$B$7:$N$71,3,FALSE)," ",VLOOKUP(A71,Регистрация!$B$7:$N$71,4,FALSE)))</f>
        <v xml:space="preserve"> </v>
      </c>
      <c r="C71" s="430"/>
      <c r="D71" s="718"/>
      <c r="E71" s="719"/>
      <c r="F71" s="416"/>
      <c r="G71" s="417" t="str">
        <f>IF(F71=0,"",CONCATENATE(VLOOKUP(F71,Регистрация!$B$7:$N$71,3,FALSE)," ",VLOOKUP(F71,Регистрация!$B$7:$N$71,4,FALSE)))</f>
        <v/>
      </c>
      <c r="H71" s="432"/>
      <c r="N71" s="720"/>
      <c r="O71" s="720"/>
      <c r="S71" s="715"/>
      <c r="T71" s="715"/>
    </row>
    <row r="72" spans="1:20" ht="8.25" customHeight="1">
      <c r="A72" s="413">
        <v>54</v>
      </c>
      <c r="B72" s="414" t="str">
        <f>IF(A72=0,"",CONCATENATE(VLOOKUP(A72,Регистрация!$B$7:$N$71,3,FALSE)," ",VLOOKUP(A72,Регистрация!$B$7:$N$71,4,FALSE)))</f>
        <v xml:space="preserve"> </v>
      </c>
      <c r="C72" s="431"/>
      <c r="N72" s="720"/>
      <c r="O72" s="720"/>
      <c r="Q72" s="420"/>
      <c r="S72" s="715"/>
      <c r="T72" s="715"/>
    </row>
    <row r="73" spans="1:20" ht="8.25" customHeight="1">
      <c r="A73" s="413">
        <v>55</v>
      </c>
      <c r="B73" s="415" t="str">
        <f>IF(A73=0,"",CONCATENATE(VLOOKUP(A73,Регистрация!$B$7:$N$71,3,FALSE)," ",VLOOKUP(A73,Регистрация!$B$7:$N$71,4,FALSE)))</f>
        <v xml:space="preserve"> </v>
      </c>
      <c r="C73" s="431"/>
      <c r="N73" s="720"/>
      <c r="O73" s="720"/>
      <c r="P73" s="723" t="str">
        <f>IF(P74=0,"",VLOOKUP(P74,Регистрация!$B$7:$N$71,11,FALSE))</f>
        <v/>
      </c>
      <c r="Q73" s="726"/>
      <c r="R73" s="429"/>
      <c r="S73" s="715"/>
      <c r="T73" s="715"/>
    </row>
    <row r="74" spans="1:20" ht="8.25" customHeight="1">
      <c r="A74" s="416">
        <v>56</v>
      </c>
      <c r="B74" s="417" t="str">
        <f>IF(A74=0,"",CONCATENATE(VLOOKUP(A74,Регистрация!$B$7:$N$71,3,FALSE)," ",VLOOKUP(A74,Регистрация!$B$7:$N$71,4,FALSE)))</f>
        <v xml:space="preserve"> </v>
      </c>
      <c r="C74" s="432"/>
      <c r="N74" s="720"/>
      <c r="O74" s="720"/>
      <c r="P74" s="411"/>
      <c r="Q74" s="412" t="str">
        <f>IF(P74=0,"",CONCATENATE(VLOOKUP(P74,Регистрация!$B$7:$N$71,3,FALSE)," ",VLOOKUP(P74,Регистрация!$B$7:$N$71,4,FALSE)))</f>
        <v/>
      </c>
      <c r="R74" s="457"/>
      <c r="S74" s="715"/>
      <c r="T74" s="715"/>
    </row>
    <row r="75" spans="1:20" ht="8.25" customHeight="1">
      <c r="P75" s="413"/>
      <c r="Q75" s="414" t="str">
        <f>IF(P75=0,"",CONCATENATE(VLOOKUP(P75,Регистрация!$B$7:$N$71,3,FALSE)," ",VLOOKUP(P75,Регистрация!$B$7:$N$71,4,FALSE)))</f>
        <v/>
      </c>
      <c r="R75" s="458"/>
    </row>
    <row r="76" spans="1:20" ht="8.25" customHeight="1">
      <c r="A76" s="723">
        <f>IF(A77=0,"",VLOOKUP(A77,Регистрация!$B$7:$N$71,11,FALSE))</f>
        <v>0</v>
      </c>
      <c r="B76" s="726"/>
      <c r="C76" s="429"/>
      <c r="N76" s="715"/>
      <c r="O76" s="715"/>
      <c r="P76" s="413"/>
      <c r="Q76" s="415" t="str">
        <f>IF(P76=0,"",CONCATENATE(VLOOKUP(P76,Регистрация!$B$7:$N$71,3,FALSE)," ",VLOOKUP(P76,Регистрация!$B$7:$N$71,4,FALSE)))</f>
        <v/>
      </c>
      <c r="R76" s="431"/>
      <c r="S76" s="456"/>
    </row>
    <row r="77" spans="1:20" ht="8.25" customHeight="1">
      <c r="A77" s="411">
        <v>13</v>
      </c>
      <c r="B77" s="412" t="str">
        <f>IF(A77=0,"",CONCATENATE(VLOOKUP(A77,Регистрация!$B$7:$N$71,3,FALSE)," ",VLOOKUP(A77,Регистрация!$B$7:$N$71,4,FALSE)))</f>
        <v xml:space="preserve"> </v>
      </c>
      <c r="C77" s="430"/>
      <c r="N77" s="715"/>
      <c r="O77" s="715"/>
      <c r="P77" s="416"/>
      <c r="Q77" s="417" t="str">
        <f>IF(P77=0,"",CONCATENATE(VLOOKUP(P77,Регистрация!$B$7:$N$71,3,FALSE)," ",VLOOKUP(P77,Регистрация!$B$7:$N$71,4,FALSE)))</f>
        <v/>
      </c>
      <c r="R77" s="432"/>
    </row>
    <row r="78" spans="1:20" ht="8.25" customHeight="1">
      <c r="A78" s="413">
        <v>14</v>
      </c>
      <c r="B78" s="414" t="str">
        <f>IF(A78=0,"",CONCATENATE(VLOOKUP(A78,Регистрация!$B$7:$N$71,3,FALSE)," ",VLOOKUP(A78,Регистрация!$B$7:$N$71,4,FALSE)))</f>
        <v xml:space="preserve"> </v>
      </c>
      <c r="C78" s="431"/>
      <c r="N78" s="715"/>
      <c r="O78" s="715"/>
    </row>
    <row r="79" spans="1:20" ht="8.25" customHeight="1">
      <c r="A79" s="413">
        <v>15</v>
      </c>
      <c r="B79" s="415" t="str">
        <f>IF(A79=0,"",CONCATENATE(VLOOKUP(A79,Регистрация!$B$7:$N$71,3,FALSE)," ",VLOOKUP(A79,Регистрация!$B$7:$N$71,4,FALSE)))</f>
        <v xml:space="preserve"> </v>
      </c>
      <c r="C79" s="431"/>
      <c r="D79" s="716"/>
      <c r="E79" s="717"/>
      <c r="F79" s="723" t="str">
        <f>IF(F80=0,"",VLOOKUP(F80,Регистрация!$B$7:$N$71,11,FALSE))</f>
        <v/>
      </c>
      <c r="G79" s="726"/>
      <c r="H79" s="429"/>
      <c r="N79" s="715"/>
      <c r="O79" s="715"/>
    </row>
    <row r="80" spans="1:20" ht="8.25" customHeight="1">
      <c r="A80" s="416">
        <v>16</v>
      </c>
      <c r="B80" s="417" t="str">
        <f>IF(A80=0,"",CONCATENATE(VLOOKUP(A80,Регистрация!$B$7:$N$71,3,FALSE)," ",VLOOKUP(A80,Регистрация!$B$7:$N$71,4,FALSE)))</f>
        <v xml:space="preserve"> </v>
      </c>
      <c r="C80" s="432"/>
      <c r="D80" s="716"/>
      <c r="E80" s="717"/>
      <c r="F80" s="411"/>
      <c r="G80" s="412" t="str">
        <f>IF(F80=0,"",CONCATENATE(VLOOKUP(F80,Регистрация!$B$7:$N$71,3,FALSE)," ",VLOOKUP(F80,Регистрация!$B$7:$N$71,4,FALSE)))</f>
        <v/>
      </c>
      <c r="H80" s="430"/>
      <c r="N80" s="715"/>
      <c r="O80" s="715"/>
    </row>
    <row r="81" spans="1:23" ht="8.25" customHeight="1">
      <c r="F81" s="413"/>
      <c r="G81" s="414" t="str">
        <f>IF(F81=0,"",CONCATENATE(VLOOKUP(F81,Регистрация!$B$7:$N$71,3,FALSE)," ",VLOOKUP(F81,Регистрация!$B$7:$N$71,4,FALSE)))</f>
        <v/>
      </c>
      <c r="H81" s="431"/>
      <c r="I81" s="456"/>
      <c r="N81" s="715"/>
      <c r="O81" s="715"/>
    </row>
    <row r="82" spans="1:23" ht="8.25" customHeight="1">
      <c r="A82" s="723">
        <f>IF(A83=0,"",VLOOKUP(A83,Регистрация!$B$7:$N$71,11,FALSE))</f>
        <v>0</v>
      </c>
      <c r="B82" s="726"/>
      <c r="C82" s="429"/>
      <c r="D82" s="718"/>
      <c r="E82" s="719"/>
      <c r="F82" s="413"/>
      <c r="G82" s="415" t="str">
        <f>IF(F82=0,"",CONCATENATE(VLOOKUP(F82,Регистрация!$B$7:$N$71,3,FALSE)," ",VLOOKUP(F82,Регистрация!$B$7:$N$71,4,FALSE)))</f>
        <v/>
      </c>
      <c r="H82" s="431"/>
      <c r="I82" s="720"/>
      <c r="J82" s="720"/>
      <c r="N82" s="715"/>
      <c r="O82" s="715"/>
      <c r="P82" s="723" t="str">
        <f>IF(P83=0,"",VLOOKUP(P83,Регистрация!$B$7:$N$71,11,FALSE))</f>
        <v/>
      </c>
      <c r="Q82" s="726"/>
      <c r="R82" s="429"/>
      <c r="W82" s="410"/>
    </row>
    <row r="83" spans="1:23" ht="8.25" customHeight="1">
      <c r="A83" s="411">
        <v>45</v>
      </c>
      <c r="B83" s="412" t="str">
        <f>IF(A83=0,"",CONCATENATE(VLOOKUP(A83,Регистрация!$B$7:$N$71,3,FALSE)," ",VLOOKUP(A83,Регистрация!$B$7:$N$71,4,FALSE)))</f>
        <v xml:space="preserve"> </v>
      </c>
      <c r="C83" s="430"/>
      <c r="D83" s="718"/>
      <c r="E83" s="719"/>
      <c r="F83" s="416"/>
      <c r="G83" s="417" t="str">
        <f>IF(F83=0,"",CONCATENATE(VLOOKUP(F83,Регистрация!$B$7:$N$71,3,FALSE)," ",VLOOKUP(F83,Регистрация!$B$7:$N$71,4,FALSE)))</f>
        <v/>
      </c>
      <c r="H83" s="432"/>
      <c r="I83" s="720"/>
      <c r="J83" s="720"/>
      <c r="N83" s="715"/>
      <c r="O83" s="715"/>
      <c r="P83" s="411"/>
      <c r="Q83" s="412" t="str">
        <f>IF(P83=0,"",CONCATENATE(VLOOKUP(P83,Регистрация!$B$7:$N$71,3,FALSE)," ",VLOOKUP(P83,Регистрация!$B$7:$N$71,4,FALSE)))</f>
        <v/>
      </c>
      <c r="R83" s="430"/>
      <c r="V83" s="740" t="s">
        <v>37</v>
      </c>
      <c r="W83" s="410"/>
    </row>
    <row r="84" spans="1:23" ht="8.25" customHeight="1">
      <c r="A84" s="413">
        <v>46</v>
      </c>
      <c r="B84" s="414" t="str">
        <f>IF(A84=0,"",CONCATENATE(VLOOKUP(A84,Регистрация!$B$7:$N$71,3,FALSE)," ",VLOOKUP(A84,Регистрация!$B$7:$N$71,4,FALSE)))</f>
        <v xml:space="preserve"> </v>
      </c>
      <c r="C84" s="431"/>
      <c r="I84" s="720"/>
      <c r="J84" s="720"/>
      <c r="N84" s="715"/>
      <c r="O84" s="715"/>
      <c r="P84" s="413"/>
      <c r="Q84" s="414" t="str">
        <f>IF(P84=0,"",CONCATENATE(VLOOKUP(P84,Регистрация!$B$7:$N$71,3,FALSE)," ",VLOOKUP(P84,Регистрация!$B$7:$N$71,4,FALSE)))</f>
        <v/>
      </c>
      <c r="R84" s="431"/>
      <c r="V84" s="741"/>
      <c r="W84" s="410"/>
    </row>
    <row r="85" spans="1:23" ht="8.25" customHeight="1">
      <c r="A85" s="413">
        <v>47</v>
      </c>
      <c r="B85" s="415" t="str">
        <f>IF(A85=0,"",CONCATENATE(VLOOKUP(A85,Регистрация!$B$7:$N$71,3,FALSE)," ",VLOOKUP(A85,Регистрация!$B$7:$N$71,4,FALSE)))</f>
        <v xml:space="preserve"> </v>
      </c>
      <c r="C85" s="431"/>
      <c r="I85" s="720"/>
      <c r="J85" s="720"/>
      <c r="K85" s="723" t="str">
        <f>IF(K86=0,"",VLOOKUP(K86,Регистрация!$B$7:$N$71,11,FALSE))</f>
        <v/>
      </c>
      <c r="L85" s="726"/>
      <c r="M85" s="429"/>
      <c r="N85" s="715"/>
      <c r="O85" s="715"/>
      <c r="P85" s="413"/>
      <c r="Q85" s="415" t="str">
        <f>IF(P85=0,"",CONCATENATE(VLOOKUP(P85,Регистрация!$B$7:$N$71,3,FALSE)," ",VLOOKUP(P85,Регистрация!$B$7:$N$71,4,FALSE)))</f>
        <v/>
      </c>
      <c r="R85" s="431"/>
      <c r="S85" s="716"/>
      <c r="T85" s="717"/>
      <c r="U85" s="723" t="str">
        <f>IF(U86=0,"",VLOOKUP(U86,Регистрация!$B$7:$N$71,11,FALSE))</f>
        <v/>
      </c>
      <c r="V85" s="726"/>
      <c r="W85" s="429"/>
    </row>
    <row r="86" spans="1:23" ht="8.25" customHeight="1">
      <c r="A86" s="416">
        <v>48</v>
      </c>
      <c r="B86" s="417" t="str">
        <f>IF(A86=0,"",CONCATENATE(VLOOKUP(A86,Регистрация!$B$7:$N$71,3,FALSE)," ",VLOOKUP(A86,Регистрация!$B$7:$N$71,4,FALSE)))</f>
        <v xml:space="preserve"> </v>
      </c>
      <c r="C86" s="432"/>
      <c r="I86" s="720"/>
      <c r="J86" s="720"/>
      <c r="K86" s="411"/>
      <c r="L86" s="412" t="str">
        <f>IF(K86=0,"",CONCATENATE(VLOOKUP(K86,Регистрация!$B$7:$N$71,3,FALSE)," ",VLOOKUP(K86,Регистрация!$B$7:$N$71,4,FALSE)))</f>
        <v/>
      </c>
      <c r="M86" s="430"/>
      <c r="N86" s="715"/>
      <c r="O86" s="715"/>
      <c r="P86" s="416"/>
      <c r="Q86" s="417" t="str">
        <f>IF(P86=0,"",CONCATENATE(VLOOKUP(P86,Регистрация!$B$7:$N$71,3,FALSE)," ",VLOOKUP(P86,Регистрация!$B$7:$N$71,4,FALSE)))</f>
        <v/>
      </c>
      <c r="R86" s="432"/>
      <c r="S86" s="716"/>
      <c r="T86" s="717"/>
      <c r="U86" s="411"/>
      <c r="V86" s="412" t="str">
        <f>IF(U86=0,"",CONCATENATE(VLOOKUP(U86,Регистрация!$B$7:$N$71,3,FALSE)," ",VLOOKUP(U86,Регистрация!$B$7:$N$71,4,FALSE)))</f>
        <v/>
      </c>
      <c r="W86" s="430"/>
    </row>
    <row r="87" spans="1:23" ht="8.25" customHeight="1">
      <c r="K87" s="413"/>
      <c r="L87" s="414" t="str">
        <f>IF(K87=0,"",CONCATENATE(VLOOKUP(K87,Регистрация!$B$7:$N$71,3,FALSE)," ",VLOOKUP(K87,Регистрация!$B$7:$N$71,4,FALSE)))</f>
        <v/>
      </c>
      <c r="M87" s="431"/>
      <c r="P87" s="419"/>
      <c r="R87" s="410"/>
      <c r="U87" s="413"/>
      <c r="V87" s="414" t="str">
        <f>IF(U87=0,"",CONCATENATE(VLOOKUP(U87,Регистрация!$B$7:$N$71,3,FALSE)," ",VLOOKUP(U87,Регистрация!$B$7:$N$71,4,FALSE)))</f>
        <v/>
      </c>
      <c r="W87" s="431"/>
    </row>
    <row r="88" spans="1:23" ht="8.25" customHeight="1">
      <c r="A88" s="723">
        <f>IF(A89=0,"",VLOOKUP(A89,Регистрация!$B$7:$N$71,11,FALSE))</f>
        <v>0</v>
      </c>
      <c r="B88" s="726"/>
      <c r="C88" s="429"/>
      <c r="I88" s="715"/>
      <c r="J88" s="715"/>
      <c r="K88" s="413"/>
      <c r="L88" s="415" t="str">
        <f>IF(K88=0,"",CONCATENATE(VLOOKUP(K88,Регистрация!$B$7:$N$71,3,FALSE)," ",VLOOKUP(K88,Регистрация!$B$7:$N$71,4,FALSE)))</f>
        <v/>
      </c>
      <c r="M88" s="431"/>
      <c r="N88" s="456"/>
      <c r="P88" s="723" t="str">
        <f>IF(P89=0,"",VLOOKUP(P89,Регистрация!$B$7:$N$71,11,FALSE))</f>
        <v/>
      </c>
      <c r="Q88" s="726"/>
      <c r="R88" s="429"/>
      <c r="S88" s="718"/>
      <c r="T88" s="719"/>
      <c r="U88" s="413"/>
      <c r="V88" s="415" t="str">
        <f>IF(U88=0,"",CONCATENATE(VLOOKUP(U88,Регистрация!$B$7:$N$71,3,FALSE)," ",VLOOKUP(U88,Регистрация!$B$7:$N$71,4,FALSE)))</f>
        <v/>
      </c>
      <c r="W88" s="431"/>
    </row>
    <row r="89" spans="1:23" ht="8.25" customHeight="1">
      <c r="A89" s="411">
        <v>29</v>
      </c>
      <c r="B89" s="412" t="str">
        <f>IF(A89=0,"",CONCATENATE(VLOOKUP(A89,Регистрация!$B$7:$N$71,3,FALSE)," ",VLOOKUP(A89,Регистрация!$B$7:$N$71,4,FALSE)))</f>
        <v xml:space="preserve"> </v>
      </c>
      <c r="C89" s="430"/>
      <c r="I89" s="715"/>
      <c r="J89" s="715"/>
      <c r="K89" s="416"/>
      <c r="L89" s="417" t="str">
        <f>IF(K89=0,"",CONCATENATE(VLOOKUP(K89,Регистрация!$B$7:$N$71,3,FALSE)," ",VLOOKUP(K89,Регистрация!$B$7:$N$71,4,FALSE)))</f>
        <v/>
      </c>
      <c r="M89" s="432"/>
      <c r="P89" s="411"/>
      <c r="Q89" s="412" t="str">
        <f>IF(P89=0,"",CONCATENATE(VLOOKUP(P89,Регистрация!$B$7:$N$71,3,FALSE)," ",VLOOKUP(P89,Регистрация!$B$7:$N$71,4,FALSE)))</f>
        <v/>
      </c>
      <c r="R89" s="430"/>
      <c r="S89" s="718"/>
      <c r="T89" s="719"/>
      <c r="U89" s="416"/>
      <c r="V89" s="417" t="str">
        <f>IF(U89=0,"",CONCATENATE(VLOOKUP(U89,Регистрация!$B$7:$N$71,3,FALSE)," ",VLOOKUP(U89,Регистрация!$B$7:$N$71,4,FALSE)))</f>
        <v/>
      </c>
      <c r="W89" s="432"/>
    </row>
    <row r="90" spans="1:23" ht="8.25" customHeight="1">
      <c r="A90" s="413">
        <v>30</v>
      </c>
      <c r="B90" s="414" t="str">
        <f>IF(A90=0,"",CONCATENATE(VLOOKUP(A90,Регистрация!$B$7:$N$71,3,FALSE)," ",VLOOKUP(A90,Регистрация!$B$7:$N$71,4,FALSE)))</f>
        <v xml:space="preserve"> </v>
      </c>
      <c r="C90" s="431"/>
      <c r="I90" s="715"/>
      <c r="J90" s="715"/>
      <c r="P90" s="413"/>
      <c r="Q90" s="414" t="str">
        <f>IF(P90=0,"",CONCATENATE(VLOOKUP(P90,Регистрация!$B$7:$N$71,3,FALSE)," ",VLOOKUP(P90,Регистрация!$B$7:$N$71,4,FALSE)))</f>
        <v/>
      </c>
      <c r="R90" s="431"/>
      <c r="W90" s="410"/>
    </row>
    <row r="91" spans="1:23" ht="8.25" customHeight="1">
      <c r="A91" s="413">
        <v>31</v>
      </c>
      <c r="B91" s="415" t="str">
        <f>IF(A91=0,"",CONCATENATE(VLOOKUP(A91,Регистрация!$B$7:$N$71,3,FALSE)," ",VLOOKUP(A91,Регистрация!$B$7:$N$71,4,FALSE)))</f>
        <v xml:space="preserve"> </v>
      </c>
      <c r="C91" s="431"/>
      <c r="D91" s="716"/>
      <c r="E91" s="717"/>
      <c r="F91" s="723" t="str">
        <f>IF(F92=0,"",VLOOKUP(F92,Регистрация!$B$7:$N$71,11,FALSE))</f>
        <v/>
      </c>
      <c r="G91" s="726"/>
      <c r="H91" s="429"/>
      <c r="I91" s="715"/>
      <c r="J91" s="715"/>
      <c r="P91" s="413"/>
      <c r="Q91" s="415" t="str">
        <f>IF(P91=0,"",CONCATENATE(VLOOKUP(P91,Регистрация!$B$7:$N$71,3,FALSE)," ",VLOOKUP(P91,Регистрация!$B$7:$N$71,4,FALSE)))</f>
        <v/>
      </c>
      <c r="R91" s="431"/>
      <c r="W91" s="410"/>
    </row>
    <row r="92" spans="1:23" ht="8.25" customHeight="1">
      <c r="A92" s="416">
        <v>32</v>
      </c>
      <c r="B92" s="417" t="str">
        <f>IF(A92=0,"",CONCATENATE(VLOOKUP(A92,Регистрация!$B$7:$N$71,3,FALSE)," ",VLOOKUP(A92,Регистрация!$B$7:$N$71,4,FALSE)))</f>
        <v xml:space="preserve"> </v>
      </c>
      <c r="C92" s="432"/>
      <c r="D92" s="716"/>
      <c r="E92" s="717"/>
      <c r="F92" s="411"/>
      <c r="G92" s="412" t="str">
        <f>IF(F92=0,"",CONCATENATE(VLOOKUP(F92,Регистрация!$B$7:$N$71,3,FALSE)," ",VLOOKUP(F92,Регистрация!$B$7:$N$71,4,FALSE)))</f>
        <v/>
      </c>
      <c r="H92" s="430"/>
      <c r="I92" s="715"/>
      <c r="J92" s="715"/>
      <c r="P92" s="416"/>
      <c r="Q92" s="417" t="str">
        <f>IF(P92=0,"",CONCATENATE(VLOOKUP(P92,Регистрация!$B$7:$N$71,3,FALSE)," ",VLOOKUP(P92,Регистрация!$B$7:$N$71,4,FALSE)))</f>
        <v/>
      </c>
      <c r="R92" s="432"/>
      <c r="W92" s="410"/>
    </row>
    <row r="93" spans="1:23" ht="8.25" customHeight="1">
      <c r="F93" s="413"/>
      <c r="G93" s="414" t="str">
        <f>IF(F93=0,"",CONCATENATE(VLOOKUP(F93,Регистрация!$B$7:$N$71,3,FALSE)," ",VLOOKUP(F93,Регистрация!$B$7:$N$71,4,FALSE)))</f>
        <v/>
      </c>
      <c r="H93" s="431"/>
    </row>
    <row r="94" spans="1:23" ht="8.25" customHeight="1">
      <c r="A94" s="723">
        <f>IF(A95=0,"",VLOOKUP(A95,Регистрация!$B$7:$N$71,11,FALSE))</f>
        <v>0</v>
      </c>
      <c r="B94" s="726"/>
      <c r="C94" s="429"/>
      <c r="D94" s="718"/>
      <c r="E94" s="719"/>
      <c r="F94" s="413"/>
      <c r="G94" s="415" t="str">
        <f>IF(F94=0,"",CONCATENATE(VLOOKUP(F94,Регистрация!$B$7:$N$71,3,FALSE)," ",VLOOKUP(F94,Регистрация!$B$7:$N$71,4,FALSE)))</f>
        <v/>
      </c>
      <c r="H94" s="431"/>
      <c r="I94" s="456"/>
    </row>
    <row r="95" spans="1:23" ht="8.25" customHeight="1">
      <c r="A95" s="411">
        <v>61</v>
      </c>
      <c r="B95" s="412" t="str">
        <f>IF(A95=0,"",CONCATENATE(VLOOKUP(A95,Регистрация!$B$7:$N$71,3,FALSE)," ",VLOOKUP(A95,Регистрация!$B$7:$N$71,4,FALSE)))</f>
        <v xml:space="preserve"> </v>
      </c>
      <c r="C95" s="430"/>
      <c r="D95" s="718"/>
      <c r="E95" s="719"/>
      <c r="F95" s="416"/>
      <c r="G95" s="417" t="str">
        <f>IF(F95=0,"",CONCATENATE(VLOOKUP(F95,Регистрация!$B$7:$N$71,3,FALSE)," ",VLOOKUP(F95,Регистрация!$B$7:$N$71,4,FALSE)))</f>
        <v/>
      </c>
      <c r="H95" s="432"/>
    </row>
    <row r="96" spans="1:23" ht="8.25" customHeight="1">
      <c r="A96" s="413">
        <v>62</v>
      </c>
      <c r="B96" s="414" t="str">
        <f>IF(A96=0,"",CONCATENATE(VLOOKUP(A96,Регистрация!$B$7:$N$71,3,FALSE)," ",VLOOKUP(A96,Регистрация!$B$7:$N$71,4,FALSE)))</f>
        <v xml:space="preserve"> </v>
      </c>
      <c r="C96" s="431"/>
      <c r="M96" s="407"/>
    </row>
    <row r="97" spans="1:22" ht="8.25" customHeight="1">
      <c r="A97" s="413">
        <v>63</v>
      </c>
      <c r="B97" s="415" t="str">
        <f>IF(A97=0,"",CONCATENATE(VLOOKUP(A97,Регистрация!$B$7:$N$71,3,FALSE)," ",VLOOKUP(A97,Регистрация!$B$7:$N$71,4,FALSE)))</f>
        <v xml:space="preserve"> </v>
      </c>
      <c r="C97" s="431"/>
      <c r="G97" s="742" t="str">
        <f>Регистрация!F73</f>
        <v>Главный судья:</v>
      </c>
      <c r="H97" s="742"/>
      <c r="I97" s="742"/>
      <c r="J97" s="742"/>
      <c r="K97" s="742"/>
      <c r="L97" s="421"/>
      <c r="M97" s="422"/>
      <c r="N97" s="421"/>
      <c r="O97" s="421"/>
      <c r="P97" s="421"/>
      <c r="Q97" s="743" t="str">
        <f>Регистрация!N73</f>
        <v>Цыльев В.А. С1К</v>
      </c>
      <c r="R97" s="743"/>
      <c r="S97" s="743"/>
      <c r="T97" s="743"/>
      <c r="U97" s="743"/>
      <c r="V97" s="743"/>
    </row>
    <row r="98" spans="1:22" ht="8.25" customHeight="1">
      <c r="A98" s="416">
        <v>64</v>
      </c>
      <c r="B98" s="417" t="e">
        <f>IF(A98=0,"",CONCATENATE(VLOOKUP(A98,Регистрация!$B$7:$N$71,3,FALSE)," ",VLOOKUP(A98,Регистрация!$B$7:$N$71,4,FALSE)))</f>
        <v>#N/A</v>
      </c>
      <c r="C98" s="432"/>
      <c r="G98" s="742"/>
      <c r="H98" s="742"/>
      <c r="I98" s="742"/>
      <c r="J98" s="742"/>
      <c r="K98" s="742"/>
      <c r="L98" s="423"/>
      <c r="M98" s="424"/>
      <c r="N98" s="423"/>
      <c r="O98" s="423"/>
      <c r="P98" s="423"/>
      <c r="Q98" s="743"/>
      <c r="R98" s="743"/>
      <c r="S98" s="743"/>
      <c r="T98" s="743"/>
      <c r="U98" s="743"/>
      <c r="V98" s="743"/>
    </row>
    <row r="99" spans="1:22" ht="11.5">
      <c r="G99" s="421"/>
      <c r="H99" s="422"/>
      <c r="I99" s="421"/>
      <c r="J99" s="421"/>
      <c r="K99" s="421"/>
      <c r="L99" s="421"/>
      <c r="M99" s="422"/>
      <c r="N99" s="421"/>
      <c r="O99" s="421"/>
      <c r="P99" s="421"/>
      <c r="Q99" s="421"/>
      <c r="R99" s="421"/>
      <c r="S99" s="421"/>
      <c r="T99" s="421"/>
      <c r="U99" s="421"/>
      <c r="V99" s="421"/>
    </row>
    <row r="100" spans="1:22" ht="12" customHeight="1">
      <c r="G100" s="742" t="str">
        <f>Регистрация!F74</f>
        <v>Главный секретерь:</v>
      </c>
      <c r="H100" s="742"/>
      <c r="I100" s="742"/>
      <c r="J100" s="742"/>
      <c r="K100" s="742"/>
      <c r="L100" s="423"/>
      <c r="M100" s="424"/>
      <c r="N100" s="423"/>
      <c r="O100" s="423"/>
      <c r="P100" s="423"/>
      <c r="Q100" s="743" t="str">
        <f>Регистрация!N74</f>
        <v>Орлова Е.С 3 К</v>
      </c>
      <c r="R100" s="743"/>
      <c r="S100" s="743"/>
      <c r="T100" s="743"/>
      <c r="U100" s="743"/>
      <c r="V100" s="743"/>
    </row>
  </sheetData>
  <mergeCells count="79">
    <mergeCell ref="F31:G31"/>
    <mergeCell ref="K37:L37"/>
    <mergeCell ref="K13:L13"/>
    <mergeCell ref="I10:J14"/>
    <mergeCell ref="A10:B10"/>
    <mergeCell ref="A16:B16"/>
    <mergeCell ref="A22:B22"/>
    <mergeCell ref="A28:B28"/>
    <mergeCell ref="A34:B34"/>
    <mergeCell ref="D10:E11"/>
    <mergeCell ref="D31:E32"/>
    <mergeCell ref="D34:E35"/>
    <mergeCell ref="I34:J38"/>
    <mergeCell ref="A88:B88"/>
    <mergeCell ref="A94:B94"/>
    <mergeCell ref="P25:Q25"/>
    <mergeCell ref="F43:G43"/>
    <mergeCell ref="F55:G55"/>
    <mergeCell ref="F67:G67"/>
    <mergeCell ref="F79:G79"/>
    <mergeCell ref="P88:Q88"/>
    <mergeCell ref="A40:B40"/>
    <mergeCell ref="A46:B46"/>
    <mergeCell ref="A52:B52"/>
    <mergeCell ref="A58:B58"/>
    <mergeCell ref="A64:B64"/>
    <mergeCell ref="A70:B70"/>
    <mergeCell ref="A76:B76"/>
    <mergeCell ref="A82:B82"/>
    <mergeCell ref="V47:V48"/>
    <mergeCell ref="G97:K98"/>
    <mergeCell ref="G100:K100"/>
    <mergeCell ref="Q97:V98"/>
    <mergeCell ref="Q100:V100"/>
    <mergeCell ref="V83:V84"/>
    <mergeCell ref="P73:Q73"/>
    <mergeCell ref="P82:Q82"/>
    <mergeCell ref="F91:G91"/>
    <mergeCell ref="K85:L85"/>
    <mergeCell ref="K61:L61"/>
    <mergeCell ref="U85:V85"/>
    <mergeCell ref="U49:V49"/>
    <mergeCell ref="S52:T74"/>
    <mergeCell ref="S85:T86"/>
    <mergeCell ref="S88:T89"/>
    <mergeCell ref="A1:V1"/>
    <mergeCell ref="A2:V2"/>
    <mergeCell ref="G3:P3"/>
    <mergeCell ref="Q3:V3"/>
    <mergeCell ref="A4:B4"/>
    <mergeCell ref="D7:E8"/>
    <mergeCell ref="D19:E20"/>
    <mergeCell ref="D22:E23"/>
    <mergeCell ref="V4:V5"/>
    <mergeCell ref="T4:U5"/>
    <mergeCell ref="Q4:S5"/>
    <mergeCell ref="F7:G7"/>
    <mergeCell ref="F19:G19"/>
    <mergeCell ref="I16:J20"/>
    <mergeCell ref="D43:E44"/>
    <mergeCell ref="D46:E47"/>
    <mergeCell ref="D55:E56"/>
    <mergeCell ref="D58:E59"/>
    <mergeCell ref="D67:E68"/>
    <mergeCell ref="D70:E71"/>
    <mergeCell ref="D79:E80"/>
    <mergeCell ref="D82:E83"/>
    <mergeCell ref="D91:E92"/>
    <mergeCell ref="D94:E95"/>
    <mergeCell ref="I40:J44"/>
    <mergeCell ref="I58:J62"/>
    <mergeCell ref="I64:J68"/>
    <mergeCell ref="I82:J86"/>
    <mergeCell ref="I88:J92"/>
    <mergeCell ref="N28:O38"/>
    <mergeCell ref="N16:O26"/>
    <mergeCell ref="N64:O74"/>
    <mergeCell ref="N76:O86"/>
    <mergeCell ref="S28:T50"/>
  </mergeCells>
  <pageMargins left="0.38" right="0.11" top="0.17" bottom="0.17" header="0.16" footer="0.16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38</vt:i4>
      </vt:variant>
    </vt:vector>
  </HeadingPairs>
  <TitlesOfParts>
    <vt:vector size="38" baseType="lpstr">
      <vt:lpstr>Регистрация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64</vt:lpstr>
      <vt:lpstr>ОК-КАТА по баллам</vt:lpstr>
      <vt:lpstr>СЗ-КАТА по баллам</vt:lpstr>
      <vt:lpstr>ОК-ката-группа</vt:lpstr>
      <vt:lpstr>ОК-ката-бункай</vt:lpstr>
      <vt:lpstr>Командные-8</vt:lpstr>
      <vt:lpstr>Командные-16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Школа СЭН'Э</dc:creator>
  <cp:lastModifiedBy>Пользователь Windows</cp:lastModifiedBy>
  <cp:lastPrinted>2025-09-30T08:08:06Z</cp:lastPrinted>
  <dcterms:created xsi:type="dcterms:W3CDTF">2008-01-15T12:31:41Z</dcterms:created>
  <dcterms:modified xsi:type="dcterms:W3CDTF">2025-09-30T08:12:09Z</dcterms:modified>
</cp:coreProperties>
</file>